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counts Manager\Downloads\aura-stay-erp-aeds-v2\src\modules\restaurant\components\"/>
    </mc:Choice>
  </mc:AlternateContent>
  <xr:revisionPtr revIDLastSave="0" documentId="13_ncr:1_{2825D19B-D008-4D7E-B5D0-8072A1070E29}" xr6:coauthVersionLast="47" xr6:coauthVersionMax="47" xr10:uidLastSave="{00000000-0000-0000-0000-000000000000}"/>
  <bookViews>
    <workbookView xWindow="-110" yWindow="-110" windowWidth="19420" windowHeight="10300" tabRatio="500" firstSheet="1" activeTab="3" xr2:uid="{00000000-000D-0000-FFFF-FFFF00000000}"/>
  </bookViews>
  <sheets>
    <sheet name="Dashboard" sheetId="1" r:id="rId1"/>
    <sheet name="Revenue Analysis" sheetId="2" r:id="rId2"/>
    <sheet name="Expense Analysis" sheetId="3" r:id="rId3"/>
    <sheet name="P&amp;L Comparison" sheetId="4" r:id="rId4"/>
    <sheet name="Collection Analysis" sheetId="5" r:id="rId5"/>
    <sheet name="Management Not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2" i="4" l="1"/>
  <c r="D14" i="5"/>
  <c r="E14" i="5" s="1"/>
  <c r="C14" i="5"/>
  <c r="B14" i="5"/>
  <c r="E13" i="5"/>
  <c r="E12" i="5"/>
  <c r="E11" i="5"/>
  <c r="E10" i="5"/>
  <c r="E9" i="5"/>
  <c r="E8" i="5"/>
  <c r="E7" i="5"/>
  <c r="E6" i="5"/>
  <c r="E5" i="5"/>
  <c r="E64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38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D41" i="3"/>
  <c r="C41" i="3"/>
  <c r="B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D18" i="3"/>
  <c r="C18" i="3"/>
  <c r="B18" i="3"/>
  <c r="E17" i="3"/>
  <c r="E16" i="3"/>
  <c r="E15" i="3"/>
  <c r="E14" i="3"/>
  <c r="E13" i="3"/>
  <c r="E12" i="3"/>
  <c r="E11" i="3"/>
  <c r="E10" i="3"/>
  <c r="E9" i="3"/>
  <c r="E8" i="3"/>
  <c r="E7" i="3"/>
  <c r="E6" i="3"/>
  <c r="F20" i="2"/>
  <c r="D20" i="2"/>
  <c r="C20" i="2"/>
  <c r="B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16" i="1"/>
  <c r="F15" i="1"/>
  <c r="F14" i="1"/>
  <c r="F13" i="1"/>
  <c r="F12" i="1"/>
  <c r="F11" i="1"/>
  <c r="E18" i="3" l="1"/>
  <c r="E41" i="3"/>
</calcChain>
</file>

<file path=xl/sharedStrings.xml><?xml version="1.0" encoding="utf-8"?>
<sst xmlns="http://schemas.openxmlformats.org/spreadsheetml/2006/main" count="260" uniqueCount="137">
  <si>
    <t>Novem Eco Resort — Comparative Performance Analysis</t>
  </si>
  <si>
    <t>April - June 2026  |  Prepared for Management Review  |  Amounts in BDT (Taka)</t>
  </si>
  <si>
    <t>Total Revenue (Jun)</t>
  </si>
  <si>
    <t>Gross Profit (Jun)</t>
  </si>
  <si>
    <t>Operating Profit (Jun)</t>
  </si>
  <si>
    <t>Net Profit Before Tax (Jun)</t>
  </si>
  <si>
    <t>Profitability Summary (BDT)</t>
  </si>
  <si>
    <t>Particulars</t>
  </si>
  <si>
    <t>Apr-2026</t>
  </si>
  <si>
    <t>May-2026</t>
  </si>
  <si>
    <t>Jun-2026</t>
  </si>
  <si>
    <t>Apr to Jun Change</t>
  </si>
  <si>
    <t>Apr to Jun %</t>
  </si>
  <si>
    <t>Total Revenue</t>
  </si>
  <si>
    <t>Total Operating Expenses</t>
  </si>
  <si>
    <t>Gross Profit</t>
  </si>
  <si>
    <t>Total Admin &amp; Other Expenses</t>
  </si>
  <si>
    <t>Operating Profit</t>
  </si>
  <si>
    <t>Profit Before Tax</t>
  </si>
  <si>
    <t>Key Margins (%)</t>
  </si>
  <si>
    <t>Ratio</t>
  </si>
  <si>
    <t>Gross Profit Margin</t>
  </si>
  <si>
    <t>Operating Profit Margin</t>
  </si>
  <si>
    <t>Net Profit (PBT) Margin</t>
  </si>
  <si>
    <t>Chart Data (Revenue / Expense / Profit Trend)</t>
  </si>
  <si>
    <t>Month</t>
  </si>
  <si>
    <t>Total Operating Exp.</t>
  </si>
  <si>
    <t>Revenue Breakdown by Source</t>
  </si>
  <si>
    <t>Amounts in BDT (Taka)</t>
  </si>
  <si>
    <t>Revenue Source</t>
  </si>
  <si>
    <t>% of Jun Revenue</t>
  </si>
  <si>
    <t>Room Rent Income</t>
  </si>
  <si>
    <t>Restaurant Income</t>
  </si>
  <si>
    <t>Extra Bed Income</t>
  </si>
  <si>
    <t>Driver Accommodation Income</t>
  </si>
  <si>
    <t>Early Check-in Charge</t>
  </si>
  <si>
    <t>Late Check-out Charge</t>
  </si>
  <si>
    <t>Games Income</t>
  </si>
  <si>
    <t>Tea Sales Income</t>
  </si>
  <si>
    <t>Pickle Sales Income</t>
  </si>
  <si>
    <t>Hat Baksho</t>
  </si>
  <si>
    <t>Event Management Charge</t>
  </si>
  <si>
    <t>Damage Charge</t>
  </si>
  <si>
    <t>Room Cancellation Charge</t>
  </si>
  <si>
    <t>Others Income</t>
  </si>
  <si>
    <t>VAT Current Account</t>
  </si>
  <si>
    <t>Top Revenue Sources (chart data)</t>
  </si>
  <si>
    <t>Source</t>
  </si>
  <si>
    <t>Expense Breakdown — Operating &amp; Administrative</t>
  </si>
  <si>
    <t>Operating Expenses</t>
  </si>
  <si>
    <t>Expense Head</t>
  </si>
  <si>
    <t>Daily Labor</t>
  </si>
  <si>
    <t>Driver Accommodation Expenses</t>
  </si>
  <si>
    <t>Electricity bill</t>
  </si>
  <si>
    <t>Employee Service Charge</t>
  </si>
  <si>
    <t>Event Management Expenses</t>
  </si>
  <si>
    <t>Gardening Expenses</t>
  </si>
  <si>
    <t>Generator Fuel</t>
  </si>
  <si>
    <t>Guest Food (Cash)</t>
  </si>
  <si>
    <t>Housekeeping</t>
  </si>
  <si>
    <t>L.P Gas</t>
  </si>
  <si>
    <t>Repairs and Maintenance</t>
  </si>
  <si>
    <t>Vendor Payment</t>
  </si>
  <si>
    <t>Administrative &amp; Other Expenses</t>
  </si>
  <si>
    <t>Courier &amp; postage</t>
  </si>
  <si>
    <t>Directors' Conveyance</t>
  </si>
  <si>
    <t>Donation Exp</t>
  </si>
  <si>
    <t>Employee Final Settlement</t>
  </si>
  <si>
    <t>Employee Salary &amp; Allowance</t>
  </si>
  <si>
    <t>Govt. Office Expenses</t>
  </si>
  <si>
    <t>Internet line rent</t>
  </si>
  <si>
    <t>License Renewal and Processing Fees</t>
  </si>
  <si>
    <t>Management Committee Remuneration</t>
  </si>
  <si>
    <t>Mobile Bill Allowance</t>
  </si>
  <si>
    <t>Printing Stationery Exp</t>
  </si>
  <si>
    <t>Security Salary</t>
  </si>
  <si>
    <t>Software Data Grid Monthly Charge</t>
  </si>
  <si>
    <t>Staff Bonus</t>
  </si>
  <si>
    <t>Staff Food (Cash)</t>
  </si>
  <si>
    <t>Transportation exp. &amp; conveyance</t>
  </si>
  <si>
    <t>Transportation exp. for Bazar</t>
  </si>
  <si>
    <t>Digital Marketing</t>
  </si>
  <si>
    <t>Sales Commission</t>
  </si>
  <si>
    <t>Top Operating Expense Heads (chart data)</t>
  </si>
  <si>
    <t>Operating vs Admin Expense Trend (chart data)</t>
  </si>
  <si>
    <t>Total Admin &amp; Other Exp.</t>
  </si>
  <si>
    <t>Statement of Profit or Loss — Line-by-Line Comparison</t>
  </si>
  <si>
    <t>Novem Limited - Novem Eco Resort | Amounts in BDT (Taka)</t>
  </si>
  <si>
    <t>REVENUE</t>
  </si>
  <si>
    <t>OPERATING EXPENSES</t>
  </si>
  <si>
    <t>GROSS PROFIT</t>
  </si>
  <si>
    <t>ADMINISTRATIVE &amp; OTHER EXPENSES</t>
  </si>
  <si>
    <t>OPERATING PROFIT / LOSS</t>
  </si>
  <si>
    <t>PROFIT BEFORE TAX</t>
  </si>
  <si>
    <t>Collection Channel Mix — Reception / Reservation / Restaurant</t>
  </si>
  <si>
    <t>Source: Collection &amp; Due Summary sheet | Amounts in BDT (Taka)</t>
  </si>
  <si>
    <t>Channel</t>
  </si>
  <si>
    <t>Reception - Cash</t>
  </si>
  <si>
    <t>Reception - Card</t>
  </si>
  <si>
    <t>Reception - Bank</t>
  </si>
  <si>
    <t>Reception - MFS</t>
  </si>
  <si>
    <t>Reservation - Bank</t>
  </si>
  <si>
    <t>Reservation - MFS</t>
  </si>
  <si>
    <t>Restaurant - Cash</t>
  </si>
  <si>
    <t>Restaurant - Bank</t>
  </si>
  <si>
    <t>Restaurant - MFS</t>
  </si>
  <si>
    <t>Total Collections</t>
  </si>
  <si>
    <t>Chart data (all channels)</t>
  </si>
  <si>
    <t>Jun-2026 Payment Method Mix (chart data)</t>
  </si>
  <si>
    <t>Method</t>
  </si>
  <si>
    <t>Amount (Jun-2026)</t>
  </si>
  <si>
    <t>Cash</t>
  </si>
  <si>
    <t>Card</t>
  </si>
  <si>
    <t>Bank Transfer</t>
  </si>
  <si>
    <t>MFS (bKash/Nagad)</t>
  </si>
  <si>
    <t>Key Observations &amp; Management Commentary</t>
  </si>
  <si>
    <t>Based on comparative analysis of April, May &amp; June 2026 monthly reports</t>
  </si>
  <si>
    <t>Total revenue grew from BDT 4,844,437 in April to BDT 6,232,629 in June, a rise of 28.7% over the quarter, with the strongest single-month jump between May and June (18.9%).</t>
  </si>
  <si>
    <t>Room Rent Income remains the dominant revenue driver, rising from BDT 2,985,095 (Apr) to BDT 4,126,114 (Jun), a 38.2% increase, and consistently accounting for over 60% of total revenue.</t>
  </si>
  <si>
    <t>Restaurant Income held broadly steady (BDT 1,094,491 to BDT 1,201,391), while Extra Bed and Driver Accommodation Income both grew strongly, pointing to higher occupancy and larger group bookings in June.</t>
  </si>
  <si>
    <t>EXPENSES</t>
  </si>
  <si>
    <t>Total Operating Expenses stayed relatively flat (BDT 2,364,530 to BDT 2,629,749, 11.2% change) despite the revenue growth, meaning operating leverage improved materially in June.</t>
  </si>
  <si>
    <t>Electricity and Generator Fuel costs fell sharply from April's peak (BDT 422,957 and BDT 182,675) to June (BDT 188,191 and BDT 46,300) — likely reflecting the transition out of peak summer cooling/generator load.</t>
  </si>
  <si>
    <t>Vendor Payment was volatile across the quarter (BDT 635,042 in Apr, peaking at BDT 1,319,341 in May before easing to BDT 1,160,751 in June) — worth reconciling against purchase/procurement cycles to confirm timing rather than cost escalation.</t>
  </si>
  <si>
    <t>Total Administrative &amp; Other Expenses declined steadily from BDT 1,251,305 (Apr) to BDT 1,008,098 (Jun), a -19.4% reduction, helped by lower Staff Bonus and one-off IT/software charges tapering off after April.</t>
  </si>
  <si>
    <t>PROFITABILITY</t>
  </si>
  <si>
    <t>Gross Profit improved from BDT 2,479,907 (Apr) to BDT 3,602,880 (Jun), a 45.3% increase, with Gross Margin expanding from 51.2% to 57.8% of revenue.</t>
  </si>
  <si>
    <t>Operating Profit more than doubled over the quarter (BDT 1,228,602 to BDT 2,594,782, 111.2% growth), driven by the combination of rising revenue and contained cost growth.</t>
  </si>
  <si>
    <t>Profit Before Tax followed the same trajectory, closing June at BDT 2,593,875 versus BDT 1,228,544 in April — a 111.1% improvement, and the strongest of the three months by a wide margin.</t>
  </si>
  <si>
    <t>COLLECTIONS</t>
  </si>
  <si>
    <t>Total recorded collections across Reception, Reservation and Restaurant channels rose each month, with card payments at Reception the single largest channel in June (BDT 1,848,547).</t>
  </si>
  <si>
    <t>Reliance on MFS (bKash/Nagad) for Reservation collections remains high and fluctuated month to month (BDT 482,245 in Apr, BDT 815,103 in May, BDT 567,096 in Jun) — management may wish to monitor MFS settlement timing and reconciliation given the volume involved.</t>
  </si>
  <si>
    <t>RECOMMENDATIONS FOR MANAGEMENT</t>
  </si>
  <si>
    <t>1. Sustain the June cost discipline on utilities (electricity, generator fuel, LP gas) into the next quarter by formalising the seasonal usage pattern observed here into the annual budget.</t>
  </si>
  <si>
    <t>2. Investigate the April-to-May spike in Vendor Payment (and the April spike in Software/Staff Bonus) to confirm these were one-off/seasonal rather than recurring cost drivers.</t>
  </si>
  <si>
    <t>3. Continue to track Room Rent Income as the primary growth lever — occupancy and ADR detail (Sales NER / Top Sheet) should be reviewed alongside this report for a complete revenue-driver picture.</t>
  </si>
  <si>
    <t>4. Given the strong margin improvement in June, consider whether part of the administrative cost savings (Staff Bonus, Software charges) are timing-related and likely to reverse in coming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</si>
</sst>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\+0.0%;\-0.0%;&quot;0.0%&quot;"/>
    <numFmt numFmtId="166" formatCode="0.0%;\(0.0%\);\-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6B6B6B"/>
      <name val="Arial"/>
      <family val="2"/>
    </font>
    <font>
      <b/>
      <sz val="9"/>
      <color rgb="FFFFFFFF"/>
      <name val="Arial"/>
      <family val="2"/>
    </font>
    <font>
      <b/>
      <sz val="14"/>
      <color rgb="FF1B4D2E"/>
      <name val="Arial"/>
      <family val="2"/>
    </font>
    <font>
      <b/>
      <sz val="9"/>
      <color rgb="FF2E7D32"/>
      <name val="Arial"/>
      <family val="2"/>
    </font>
    <font>
      <b/>
      <sz val="12"/>
      <color rgb="FF1B4D2E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2E7D32"/>
      <name val="Arial"/>
      <family val="2"/>
    </font>
    <font>
      <b/>
      <sz val="10"/>
      <color rgb="FFC0392B"/>
      <name val="Arial"/>
      <family val="2"/>
    </font>
    <font>
      <i/>
      <sz val="9"/>
      <color rgb="FF6B6B6B"/>
      <name val="Arial"/>
      <family val="2"/>
    </font>
    <font>
      <b/>
      <sz val="10.5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4D2E"/>
        <bgColor rgb="FF333300"/>
      </patternFill>
    </fill>
    <fill>
      <patternFill patternType="solid">
        <fgColor rgb="FF2E7D32"/>
        <bgColor rgb="FF008080"/>
      </patternFill>
    </fill>
    <fill>
      <patternFill patternType="solid">
        <fgColor rgb="FFEAF3EC"/>
        <bgColor rgb="FFFFFFFF"/>
      </patternFill>
    </fill>
    <fill>
      <patternFill patternType="solid">
        <fgColor rgb="FFD4A017"/>
        <bgColor rgb="FFDC853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4" fontId="9" fillId="0" borderId="1" xfId="0" applyNumberFormat="1" applyFont="1" applyBorder="1"/>
    <xf numFmtId="164" fontId="8" fillId="0" borderId="1" xfId="0" applyNumberFormat="1" applyFont="1" applyBorder="1"/>
    <xf numFmtId="166" fontId="10" fillId="0" borderId="1" xfId="0" applyNumberFormat="1" applyFont="1" applyBorder="1"/>
    <xf numFmtId="166" fontId="11" fillId="0" borderId="1" xfId="0" applyNumberFormat="1" applyFont="1" applyBorder="1"/>
    <xf numFmtId="166" fontId="9" fillId="0" borderId="1" xfId="0" applyNumberFormat="1" applyFont="1" applyBorder="1"/>
    <xf numFmtId="0" fontId="12" fillId="0" borderId="0" xfId="0" applyFont="1"/>
    <xf numFmtId="0" fontId="9" fillId="0" borderId="1" xfId="0" applyFont="1" applyBorder="1"/>
    <xf numFmtId="166" fontId="0" fillId="0" borderId="1" xfId="0" applyNumberFormat="1" applyBorder="1"/>
    <xf numFmtId="0" fontId="8" fillId="4" borderId="1" xfId="0" applyFont="1" applyFill="1" applyBorder="1"/>
    <xf numFmtId="164" fontId="8" fillId="4" borderId="1" xfId="0" applyNumberFormat="1" applyFont="1" applyFill="1" applyBorder="1"/>
    <xf numFmtId="166" fontId="8" fillId="4" borderId="1" xfId="0" applyNumberFormat="1" applyFont="1" applyFill="1" applyBorder="1"/>
    <xf numFmtId="0" fontId="13" fillId="3" borderId="1" xfId="0" applyFont="1" applyFill="1" applyBorder="1"/>
    <xf numFmtId="0" fontId="0" fillId="3" borderId="1" xfId="0" applyFill="1" applyBorder="1"/>
    <xf numFmtId="0" fontId="8" fillId="5" borderId="1" xfId="0" applyFont="1" applyFill="1" applyBorder="1"/>
    <xf numFmtId="164" fontId="8" fillId="5" borderId="1" xfId="0" applyNumberFormat="1" applyFont="1" applyFill="1" applyBorder="1"/>
    <xf numFmtId="166" fontId="8" fillId="5" borderId="1" xfId="0" applyNumberFormat="1" applyFont="1" applyFill="1" applyBorder="1"/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6B6B6B"/>
      <rgbColor rgb="FF800080"/>
      <rgbColor rgb="FF4F81BD"/>
      <rgbColor rgb="FFBBBBBB"/>
      <rgbColor rgb="FF878787"/>
      <rgbColor rgb="FF93A9CE"/>
      <rgbColor rgb="FFAB4744"/>
      <rgbColor rgb="FFEAF3E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6AAC4"/>
      <rgbColor rgb="FFCCFFFF"/>
      <rgbColor rgb="FFCCFFCC"/>
      <rgbColor rgb="FFFFFF99"/>
      <rgbColor rgb="FFB8CD97"/>
      <rgbColor rgb="FFD09493"/>
      <rgbColor rgb="FF8064A2"/>
      <rgbColor rgb="FF9BBB59"/>
      <rgbColor rgb="FF4A7EBB"/>
      <rgbColor rgb="FF4BACC6"/>
      <rgbColor rgb="FF98B855"/>
      <rgbColor rgb="FFD4A017"/>
      <rgbColor rgb="FFF79646"/>
      <rgbColor rgb="FFC0504D"/>
      <rgbColor rgb="FF725990"/>
      <rgbColor rgb="FF8AA64F"/>
      <rgbColor rgb="FF003366"/>
      <rgbColor rgb="FF4299B0"/>
      <rgbColor rgb="FF003300"/>
      <rgbColor rgb="FF333300"/>
      <rgbColor rgb="FFC0392B"/>
      <rgbColor rgb="FFBE4B48"/>
      <rgbColor rgb="FF7D5FA0"/>
      <rgbColor rgb="FF1B4D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Revenue, Expense &amp; Profit Trend (Apr-Jun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Dashboard!$B$26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016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Dashboard!$A$27:$A$29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Dashboard!$B$27:$B$29</c:f>
              <c:numCache>
                <c:formatCode>#,##0;\(#,##0\);\-</c:formatCode>
                <c:ptCount val="3"/>
                <c:pt idx="0">
                  <c:v>4844437</c:v>
                </c:pt>
                <c:pt idx="1">
                  <c:v>5241540</c:v>
                </c:pt>
                <c:pt idx="2">
                  <c:v>6232629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9-4A23-8C22-E46A6E880683}"/>
            </c:ext>
          </c:extLst>
        </c:ser>
        <c:ser>
          <c:idx val="1"/>
          <c:order val="1"/>
          <c:tx>
            <c:strRef>
              <c:f>Dashboard!$C$26</c:f>
              <c:strCache>
                <c:ptCount val="1"/>
                <c:pt idx="0">
                  <c:v>Total Operating Exp.</c:v>
                </c:pt>
              </c:strCache>
            </c:strRef>
          </c:tx>
          <c:spPr>
            <a:ln w="2016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Dashboard!$A$27:$A$29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Dashboard!$C$27:$C$29</c:f>
              <c:numCache>
                <c:formatCode>#,##0;\(#,##0\);\-</c:formatCode>
                <c:ptCount val="3"/>
                <c:pt idx="0">
                  <c:v>2364530</c:v>
                </c:pt>
                <c:pt idx="1">
                  <c:v>2693830</c:v>
                </c:pt>
                <c:pt idx="2">
                  <c:v>2629749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89-4A23-8C22-E46A6E880683}"/>
            </c:ext>
          </c:extLst>
        </c:ser>
        <c:ser>
          <c:idx val="2"/>
          <c:order val="2"/>
          <c:tx>
            <c:strRef>
              <c:f>Dashboard!$D$26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016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Dashboard!$A$27:$A$29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Dashboard!$D$27:$D$29</c:f>
              <c:numCache>
                <c:formatCode>#,##0;\(#,##0\);\-</c:formatCode>
                <c:ptCount val="3"/>
                <c:pt idx="0">
                  <c:v>2479907</c:v>
                </c:pt>
                <c:pt idx="1">
                  <c:v>2547710</c:v>
                </c:pt>
                <c:pt idx="2">
                  <c:v>3602880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89-4A23-8C22-E46A6E880683}"/>
            </c:ext>
          </c:extLst>
        </c:ser>
        <c:ser>
          <c:idx val="3"/>
          <c:order val="3"/>
          <c:tx>
            <c:strRef>
              <c:f>Dashboard!$E$26</c:f>
              <c:strCache>
                <c:ptCount val="1"/>
                <c:pt idx="0">
                  <c:v>Operating Profit</c:v>
                </c:pt>
              </c:strCache>
            </c:strRef>
          </c:tx>
          <c:spPr>
            <a:ln w="2016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Dashboard!$A$27:$A$29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Dashboard!$E$27:$E$29</c:f>
              <c:numCache>
                <c:formatCode>#,##0;\(#,##0\);\-</c:formatCode>
                <c:ptCount val="3"/>
                <c:pt idx="0">
                  <c:v>1228602</c:v>
                </c:pt>
                <c:pt idx="1">
                  <c:v>1348491</c:v>
                </c:pt>
                <c:pt idx="2">
                  <c:v>2594782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89-4A23-8C22-E46A6E880683}"/>
            </c:ext>
          </c:extLst>
        </c:ser>
        <c:ser>
          <c:idx val="4"/>
          <c:order val="4"/>
          <c:tx>
            <c:strRef>
              <c:f>Dashboard!$F$26</c:f>
              <c:strCache>
                <c:ptCount val="1"/>
                <c:pt idx="0">
                  <c:v>Profit Before Tax</c:v>
                </c:pt>
              </c:strCache>
            </c:strRef>
          </c:tx>
          <c:spPr>
            <a:ln w="20160">
              <a:solidFill>
                <a:srgbClr val="46AAC4"/>
              </a:solidFill>
              <a:round/>
            </a:ln>
          </c:spPr>
          <c:marker>
            <c:symbol val="circle"/>
            <c:size val="5"/>
            <c:spPr>
              <a:solidFill>
                <a:srgbClr val="46AA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Dashboard!$A$27:$A$29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Dashboard!$F$27:$F$29</c:f>
              <c:numCache>
                <c:formatCode>#,##0;\(#,##0\);\-</c:formatCode>
                <c:ptCount val="3"/>
                <c:pt idx="0">
                  <c:v>1228544</c:v>
                </c:pt>
                <c:pt idx="1">
                  <c:v>1348433</c:v>
                </c:pt>
                <c:pt idx="2">
                  <c:v>2593875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89-4A23-8C22-E46A6E880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6279718"/>
        <c:axId val="36923351"/>
      </c:lineChart>
      <c:catAx>
        <c:axId val="662797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923351"/>
        <c:crosses val="autoZero"/>
        <c:auto val="1"/>
        <c:lblAlgn val="ctr"/>
        <c:lblOffset val="100"/>
        <c:noMultiLvlLbl val="0"/>
      </c:catAx>
      <c:valAx>
        <c:axId val="369233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BDT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2797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Mix by Month (Top Sources)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Analysis'!$A$25</c:f>
              <c:strCache>
                <c:ptCount val="1"/>
                <c:pt idx="0">
                  <c:v>Room Rent Income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Analysis'!$B$24:$D$24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'Revenue Analysis'!$B$25:$D$25</c:f>
              <c:numCache>
                <c:formatCode>#,##0;\(#,##0\);\-</c:formatCode>
                <c:ptCount val="3"/>
                <c:pt idx="0">
                  <c:v>2985095</c:v>
                </c:pt>
                <c:pt idx="1">
                  <c:v>3494070</c:v>
                </c:pt>
                <c:pt idx="2">
                  <c:v>4126114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9-41D6-84ED-A806EFB37447}"/>
            </c:ext>
          </c:extLst>
        </c:ser>
        <c:ser>
          <c:idx val="1"/>
          <c:order val="1"/>
          <c:tx>
            <c:strRef>
              <c:f>'Revenue Analysis'!$A$26</c:f>
              <c:strCache>
                <c:ptCount val="1"/>
                <c:pt idx="0">
                  <c:v>Restaurant Income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Analysis'!$B$24:$D$24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'Revenue Analysis'!$B$26:$D$26</c:f>
              <c:numCache>
                <c:formatCode>#,##0;\(#,##0\);\-</c:formatCode>
                <c:ptCount val="3"/>
                <c:pt idx="0">
                  <c:v>1094491</c:v>
                </c:pt>
                <c:pt idx="1">
                  <c:v>1008014</c:v>
                </c:pt>
                <c:pt idx="2">
                  <c:v>1201391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9-41D6-84ED-A806EFB37447}"/>
            </c:ext>
          </c:extLst>
        </c:ser>
        <c:ser>
          <c:idx val="2"/>
          <c:order val="2"/>
          <c:tx>
            <c:strRef>
              <c:f>'Revenue Analysis'!$A$27</c:f>
              <c:strCache>
                <c:ptCount val="1"/>
                <c:pt idx="0">
                  <c:v>VAT Current Account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Analysis'!$B$24:$D$24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'Revenue Analysis'!$B$27:$D$27</c:f>
              <c:numCache>
                <c:formatCode>#,##0;\(#,##0\);\-</c:formatCode>
                <c:ptCount val="3"/>
                <c:pt idx="0">
                  <c:v>483247</c:v>
                </c:pt>
                <c:pt idx="1">
                  <c:v>567064</c:v>
                </c:pt>
                <c:pt idx="2">
                  <c:v>656162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C9-41D6-84ED-A806EFB37447}"/>
            </c:ext>
          </c:extLst>
        </c:ser>
        <c:ser>
          <c:idx val="3"/>
          <c:order val="3"/>
          <c:tx>
            <c:strRef>
              <c:f>'Revenue Analysis'!$A$28</c:f>
              <c:strCache>
                <c:ptCount val="1"/>
                <c:pt idx="0">
                  <c:v>Extra Bed Income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Analysis'!$B$24:$D$24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'Revenue Analysis'!$B$28:$D$28</c:f>
              <c:numCache>
                <c:formatCode>#,##0;\(#,##0\);\-</c:formatCode>
                <c:ptCount val="3"/>
                <c:pt idx="0">
                  <c:v>77100</c:v>
                </c:pt>
                <c:pt idx="1">
                  <c:v>95800</c:v>
                </c:pt>
                <c:pt idx="2">
                  <c:v>124500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C9-41D6-84ED-A806EFB37447}"/>
            </c:ext>
          </c:extLst>
        </c:ser>
        <c:ser>
          <c:idx val="4"/>
          <c:order val="4"/>
          <c:tx>
            <c:strRef>
              <c:f>'Revenue Analysis'!$A$29</c:f>
              <c:strCache>
                <c:ptCount val="1"/>
                <c:pt idx="0">
                  <c:v>Event Management Charge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Analysis'!$B$24:$D$24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'Revenue Analysis'!$B$29:$D$29</c:f>
              <c:numCache>
                <c:formatCode>#,##0;\(#,##0\);\-</c:formatCode>
                <c:ptCount val="3"/>
                <c:pt idx="0">
                  <c:v>50844</c:v>
                </c:pt>
                <c:pt idx="1">
                  <c:v>7500</c:v>
                </c:pt>
                <c:pt idx="2">
                  <c:v>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C9-41D6-84ED-A806EFB37447}"/>
            </c:ext>
          </c:extLst>
        </c:ser>
        <c:ser>
          <c:idx val="5"/>
          <c:order val="5"/>
          <c:tx>
            <c:strRef>
              <c:f>'Revenue Analysis'!$A$30</c:f>
              <c:strCache>
                <c:ptCount val="1"/>
                <c:pt idx="0">
                  <c:v>Driver Accommodation Income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Analysis'!$B$24:$D$24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'Revenue Analysis'!$B$30:$D$30</c:f>
              <c:numCache>
                <c:formatCode>#,##0;\(#,##0\);\-</c:formatCode>
                <c:ptCount val="3"/>
                <c:pt idx="0">
                  <c:v>14300</c:v>
                </c:pt>
                <c:pt idx="1">
                  <c:v>38400</c:v>
                </c:pt>
                <c:pt idx="2">
                  <c:v>44900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C9-41D6-84ED-A806EFB37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754576"/>
        <c:axId val="24793033"/>
      </c:barChart>
      <c:catAx>
        <c:axId val="9475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793033"/>
        <c:crosses val="autoZero"/>
        <c:auto val="1"/>
        <c:lblAlgn val="ctr"/>
        <c:lblOffset val="100"/>
        <c:noMultiLvlLbl val="0"/>
      </c:catAx>
      <c:valAx>
        <c:axId val="24793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BDT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7545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Top Operating Expense Heads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Analysis'!$A$46</c:f>
              <c:strCache>
                <c:ptCount val="1"/>
                <c:pt idx="0">
                  <c:v>Vendor Payment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'Expense Analysis'!$B$45:$D$45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'Expense Analysis'!$B$46:$D$46</c:f>
              <c:numCache>
                <c:formatCode>#,##0;\(#,##0\);\-</c:formatCode>
                <c:ptCount val="3"/>
                <c:pt idx="0">
                  <c:v>635042</c:v>
                </c:pt>
                <c:pt idx="1">
                  <c:v>1319341</c:v>
                </c:pt>
                <c:pt idx="2">
                  <c:v>1160751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7-4932-850F-55A72777F286}"/>
            </c:ext>
          </c:extLst>
        </c:ser>
        <c:ser>
          <c:idx val="1"/>
          <c:order val="1"/>
          <c:tx>
            <c:strRef>
              <c:f>'Expense Analysis'!$A$47</c:f>
              <c:strCache>
                <c:ptCount val="1"/>
                <c:pt idx="0">
                  <c:v>Guest Food (Cash)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'Expense Analysis'!$B$45:$D$45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'Expense Analysis'!$B$47:$D$47</c:f>
              <c:numCache>
                <c:formatCode>#,##0;\(#,##0\);\-</c:formatCode>
                <c:ptCount val="3"/>
                <c:pt idx="0">
                  <c:v>559283</c:v>
                </c:pt>
                <c:pt idx="1">
                  <c:v>531227</c:v>
                </c:pt>
                <c:pt idx="2">
                  <c:v>595039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7-4932-850F-55A72777F286}"/>
            </c:ext>
          </c:extLst>
        </c:ser>
        <c:ser>
          <c:idx val="2"/>
          <c:order val="2"/>
          <c:tx>
            <c:strRef>
              <c:f>'Expense Analysis'!$A$48</c:f>
              <c:strCache>
                <c:ptCount val="1"/>
                <c:pt idx="0">
                  <c:v>Employee Service Charge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'Expense Analysis'!$B$45:$D$45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'Expense Analysis'!$B$48:$D$48</c:f>
              <c:numCache>
                <c:formatCode>#,##0;\(#,##0\);\-</c:formatCode>
                <c:ptCount val="3"/>
                <c:pt idx="0">
                  <c:v>146794</c:v>
                </c:pt>
                <c:pt idx="1">
                  <c:v>174015</c:v>
                </c:pt>
                <c:pt idx="2">
                  <c:v>209451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67-4932-850F-55A72777F286}"/>
            </c:ext>
          </c:extLst>
        </c:ser>
        <c:ser>
          <c:idx val="3"/>
          <c:order val="3"/>
          <c:tx>
            <c:strRef>
              <c:f>'Expense Analysis'!$A$49</c:f>
              <c:strCache>
                <c:ptCount val="1"/>
                <c:pt idx="0">
                  <c:v>Electricity bill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'Expense Analysis'!$B$45:$D$45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'Expense Analysis'!$B$49:$D$49</c:f>
              <c:numCache>
                <c:formatCode>#,##0;\(#,##0\);\-</c:formatCode>
                <c:ptCount val="3"/>
                <c:pt idx="0">
                  <c:v>422957</c:v>
                </c:pt>
                <c:pt idx="1">
                  <c:v>194289</c:v>
                </c:pt>
                <c:pt idx="2">
                  <c:v>188191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67-4932-850F-55A72777F286}"/>
            </c:ext>
          </c:extLst>
        </c:ser>
        <c:ser>
          <c:idx val="4"/>
          <c:order val="4"/>
          <c:tx>
            <c:strRef>
              <c:f>'Expense Analysis'!$A$50</c:f>
              <c:strCache>
                <c:ptCount val="1"/>
                <c:pt idx="0">
                  <c:v>Housekeeping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'Expense Analysis'!$B$45:$D$45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'Expense Analysis'!$B$50:$D$50</c:f>
              <c:numCache>
                <c:formatCode>#,##0;\(#,##0\);\-</c:formatCode>
                <c:ptCount val="3"/>
                <c:pt idx="0">
                  <c:v>90512</c:v>
                </c:pt>
                <c:pt idx="1">
                  <c:v>107648</c:v>
                </c:pt>
                <c:pt idx="2">
                  <c:v>141472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67-4932-850F-55A72777F286}"/>
            </c:ext>
          </c:extLst>
        </c:ser>
        <c:ser>
          <c:idx val="5"/>
          <c:order val="5"/>
          <c:tx>
            <c:strRef>
              <c:f>'Expense Analysis'!$A$51</c:f>
              <c:strCache>
                <c:ptCount val="1"/>
                <c:pt idx="0">
                  <c:v>Repairs and Maintenance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'Expense Analysis'!$B$45:$D$45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'Expense Analysis'!$B$51:$D$51</c:f>
              <c:numCache>
                <c:formatCode>#,##0;\(#,##0\);\-</c:formatCode>
                <c:ptCount val="3"/>
                <c:pt idx="0">
                  <c:v>106632</c:v>
                </c:pt>
                <c:pt idx="1">
                  <c:v>77310</c:v>
                </c:pt>
                <c:pt idx="2">
                  <c:v>98940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67-4932-850F-55A72777F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72206"/>
        <c:axId val="27132358"/>
      </c:barChart>
      <c:catAx>
        <c:axId val="413722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32358"/>
        <c:crosses val="autoZero"/>
        <c:auto val="1"/>
        <c:lblAlgn val="ctr"/>
        <c:lblOffset val="100"/>
        <c:noMultiLvlLbl val="0"/>
      </c:catAx>
      <c:valAx>
        <c:axId val="27132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BDT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3722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Operating vs Administrative Expense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'Expense Analysis'!$B$77</c:f>
              <c:strCache>
                <c:ptCount val="1"/>
                <c:pt idx="0">
                  <c:v>Total Operating Exp.</c:v>
                </c:pt>
              </c:strCache>
            </c:strRef>
          </c:tx>
          <c:spPr>
            <a:ln w="2016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'Expense Analysis'!$A$78:$A$80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'Expense Analysis'!$B$78:$B$80</c:f>
              <c:numCache>
                <c:formatCode>#,##0;\(#,##0\);\-</c:formatCode>
                <c:ptCount val="3"/>
                <c:pt idx="0">
                  <c:v>2364530</c:v>
                </c:pt>
                <c:pt idx="1">
                  <c:v>2693830</c:v>
                </c:pt>
                <c:pt idx="2">
                  <c:v>2629749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8C-498B-9CCF-10455341E460}"/>
            </c:ext>
          </c:extLst>
        </c:ser>
        <c:ser>
          <c:idx val="1"/>
          <c:order val="1"/>
          <c:tx>
            <c:strRef>
              <c:f>'Expense Analysis'!$C$77</c:f>
              <c:strCache>
                <c:ptCount val="1"/>
                <c:pt idx="0">
                  <c:v>Total Admin &amp; Other Exp.</c:v>
                </c:pt>
              </c:strCache>
            </c:strRef>
          </c:tx>
          <c:spPr>
            <a:ln w="2016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'Expense Analysis'!$A$78:$A$80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'Expense Analysis'!$C$78:$C$80</c:f>
              <c:numCache>
                <c:formatCode>#,##0;\(#,##0\);\-</c:formatCode>
                <c:ptCount val="3"/>
                <c:pt idx="0">
                  <c:v>1251305</c:v>
                </c:pt>
                <c:pt idx="1">
                  <c:v>1199219</c:v>
                </c:pt>
                <c:pt idx="2">
                  <c:v>1008098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8C-498B-9CCF-10455341E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4986362"/>
        <c:axId val="49157212"/>
      </c:lineChart>
      <c:catAx>
        <c:axId val="149863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157212"/>
        <c:crosses val="autoZero"/>
        <c:auto val="1"/>
        <c:lblAlgn val="ctr"/>
        <c:lblOffset val="100"/>
        <c:noMultiLvlLbl val="0"/>
      </c:catAx>
      <c:valAx>
        <c:axId val="491572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BDT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9863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Collection Channel Mix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'Collection Analysis'!$A$19</c:f>
              <c:strCache>
                <c:ptCount val="1"/>
                <c:pt idx="0">
                  <c:v>Reception - Cash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'Collection Analysis'!$B$18:$D$18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'Collection Analysis'!$B$19:$D$19</c:f>
              <c:numCache>
                <c:formatCode>#,##0;\(#,##0\);\-</c:formatCode>
                <c:ptCount val="3"/>
                <c:pt idx="0">
                  <c:v>1282317</c:v>
                </c:pt>
                <c:pt idx="1">
                  <c:v>1170661</c:v>
                </c:pt>
                <c:pt idx="2">
                  <c:v>1399503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2-4903-98A0-CA19BAA1F059}"/>
            </c:ext>
          </c:extLst>
        </c:ser>
        <c:ser>
          <c:idx val="1"/>
          <c:order val="1"/>
          <c:tx>
            <c:strRef>
              <c:f>'Collection Analysis'!$A$20</c:f>
              <c:strCache>
                <c:ptCount val="1"/>
                <c:pt idx="0">
                  <c:v>Reception - Card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'Collection Analysis'!$B$18:$D$18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'Collection Analysis'!$B$20:$D$20</c:f>
              <c:numCache>
                <c:formatCode>#,##0;\(#,##0\);\-</c:formatCode>
                <c:ptCount val="3"/>
                <c:pt idx="0">
                  <c:v>1302745</c:v>
                </c:pt>
                <c:pt idx="1">
                  <c:v>1395056</c:v>
                </c:pt>
                <c:pt idx="2">
                  <c:v>1848547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F2-4903-98A0-CA19BAA1F059}"/>
            </c:ext>
          </c:extLst>
        </c:ser>
        <c:ser>
          <c:idx val="2"/>
          <c:order val="2"/>
          <c:tx>
            <c:strRef>
              <c:f>'Collection Analysis'!$A$21</c:f>
              <c:strCache>
                <c:ptCount val="1"/>
                <c:pt idx="0">
                  <c:v>Reception - Bank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'Collection Analysis'!$B$18:$D$18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'Collection Analysis'!$B$21:$D$21</c:f>
              <c:numCache>
                <c:formatCode>#,##0;\(#,##0\);\-</c:formatCode>
                <c:ptCount val="3"/>
                <c:pt idx="0">
                  <c:v>79738</c:v>
                </c:pt>
                <c:pt idx="1">
                  <c:v>114051</c:v>
                </c:pt>
                <c:pt idx="2">
                  <c:v>74850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F2-4903-98A0-CA19BAA1F059}"/>
            </c:ext>
          </c:extLst>
        </c:ser>
        <c:ser>
          <c:idx val="3"/>
          <c:order val="3"/>
          <c:tx>
            <c:strRef>
              <c:f>'Collection Analysis'!$A$22</c:f>
              <c:strCache>
                <c:ptCount val="1"/>
                <c:pt idx="0">
                  <c:v>Reception - MFS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'Collection Analysis'!$B$18:$D$18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'Collection Analysis'!$B$22:$D$22</c:f>
              <c:numCache>
                <c:formatCode>#,##0;\(#,##0\);\-</c:formatCode>
                <c:ptCount val="3"/>
                <c:pt idx="0">
                  <c:v>478819</c:v>
                </c:pt>
                <c:pt idx="1">
                  <c:v>363479</c:v>
                </c:pt>
                <c:pt idx="2">
                  <c:v>447347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F2-4903-98A0-CA19BAA1F059}"/>
            </c:ext>
          </c:extLst>
        </c:ser>
        <c:ser>
          <c:idx val="4"/>
          <c:order val="4"/>
          <c:tx>
            <c:strRef>
              <c:f>'Collection Analysis'!$A$23</c:f>
              <c:strCache>
                <c:ptCount val="1"/>
                <c:pt idx="0">
                  <c:v>Reservation - Bank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'Collection Analysis'!$B$18:$D$18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'Collection Analysis'!$B$23:$D$23</c:f>
              <c:numCache>
                <c:formatCode>#,##0;\(#,##0\);\-</c:formatCode>
                <c:ptCount val="3"/>
                <c:pt idx="0">
                  <c:v>261038</c:v>
                </c:pt>
                <c:pt idx="1">
                  <c:v>297604</c:v>
                </c:pt>
                <c:pt idx="2">
                  <c:v>450958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F2-4903-98A0-CA19BAA1F059}"/>
            </c:ext>
          </c:extLst>
        </c:ser>
        <c:ser>
          <c:idx val="5"/>
          <c:order val="5"/>
          <c:tx>
            <c:strRef>
              <c:f>'Collection Analysis'!$A$24</c:f>
              <c:strCache>
                <c:ptCount val="1"/>
                <c:pt idx="0">
                  <c:v>Reservation - MFS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'Collection Analysis'!$B$18:$D$18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'Collection Analysis'!$B$24:$D$24</c:f>
              <c:numCache>
                <c:formatCode>#,##0;\(#,##0\);\-</c:formatCode>
                <c:ptCount val="3"/>
                <c:pt idx="0">
                  <c:v>482245</c:v>
                </c:pt>
                <c:pt idx="1">
                  <c:v>815103</c:v>
                </c:pt>
                <c:pt idx="2">
                  <c:v>567096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F2-4903-98A0-CA19BAA1F059}"/>
            </c:ext>
          </c:extLst>
        </c:ser>
        <c:ser>
          <c:idx val="6"/>
          <c:order val="6"/>
          <c:tx>
            <c:strRef>
              <c:f>'Collection Analysis'!$A$25</c:f>
              <c:strCache>
                <c:ptCount val="1"/>
                <c:pt idx="0">
                  <c:v>Restaurant - Cash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'Collection Analysis'!$B$18:$D$18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'Collection Analysis'!$B$25:$D$25</c:f>
              <c:numCache>
                <c:formatCode>#,##0;\(#,##0\);\-</c:formatCode>
                <c:ptCount val="3"/>
                <c:pt idx="0">
                  <c:v>374347</c:v>
                </c:pt>
                <c:pt idx="1">
                  <c:v>189208</c:v>
                </c:pt>
                <c:pt idx="2">
                  <c:v>419427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F2-4903-98A0-CA19BAA1F059}"/>
            </c:ext>
          </c:extLst>
        </c:ser>
        <c:ser>
          <c:idx val="7"/>
          <c:order val="7"/>
          <c:tx>
            <c:strRef>
              <c:f>'Collection Analysis'!$A$26</c:f>
              <c:strCache>
                <c:ptCount val="1"/>
                <c:pt idx="0">
                  <c:v>Restaurant - Bank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'Collection Analysis'!$B$18:$D$18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'Collection Analysis'!$B$26:$D$26</c:f>
              <c:numCache>
                <c:formatCode>#,##0;\(#,##0\);\-</c:formatCode>
                <c:ptCount val="3"/>
                <c:pt idx="0">
                  <c:v>52924</c:v>
                </c:pt>
                <c:pt idx="1">
                  <c:v>54271</c:v>
                </c:pt>
                <c:pt idx="2">
                  <c:v>159085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F2-4903-98A0-CA19BAA1F059}"/>
            </c:ext>
          </c:extLst>
        </c:ser>
        <c:ser>
          <c:idx val="8"/>
          <c:order val="8"/>
          <c:tx>
            <c:strRef>
              <c:f>'Collection Analysis'!$A$27</c:f>
              <c:strCache>
                <c:ptCount val="1"/>
                <c:pt idx="0">
                  <c:v>Restaurant - MFS</c:v>
                </c:pt>
              </c:strCache>
            </c:strRef>
          </c:tx>
          <c:spPr>
            <a:solidFill>
              <a:srgbClr val="B8CD9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'Collection Analysis'!$B$18:$D$18</c:f>
              <c:strCache>
                <c:ptCount val="3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</c:strCache>
            </c:strRef>
          </c:cat>
          <c:val>
            <c:numRef>
              <c:f>'Collection Analysis'!$B$27:$D$27</c:f>
              <c:numCache>
                <c:formatCode>#,##0;\(#,##0\);\-</c:formatCode>
                <c:ptCount val="3"/>
                <c:pt idx="0">
                  <c:v>50208</c:v>
                </c:pt>
                <c:pt idx="1">
                  <c:v>30764</c:v>
                </c:pt>
                <c:pt idx="2">
                  <c:v>47927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F2-4903-98A0-CA19BAA1F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48024"/>
        <c:axId val="66337360"/>
      </c:barChart>
      <c:catAx>
        <c:axId val="16248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337360"/>
        <c:crosses val="autoZero"/>
        <c:auto val="1"/>
        <c:lblAlgn val="ctr"/>
        <c:lblOffset val="100"/>
        <c:noMultiLvlLbl val="0"/>
      </c:catAx>
      <c:valAx>
        <c:axId val="66337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BDT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248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June 2026 Payment Method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'Collection Analysis'!$B$53</c:f>
              <c:strCache>
                <c:ptCount val="1"/>
                <c:pt idx="0">
                  <c:v>Amount (Jun-2026)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C00-40EC-A201-DF28B4ED6E1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C00-40EC-A201-DF28B4ED6E1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C00-40EC-A201-DF28B4ED6E1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C00-40EC-A201-DF28B4ED6E1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C00-40EC-A201-DF28B4ED6E1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C00-40EC-A201-DF28B4ED6E1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C00-40EC-A201-DF28B4ED6E1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1C00-40EC-A201-DF28B4ED6E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'Collection Analysis'!$A$54:$A$57</c:f>
              <c:strCache>
                <c:ptCount val="4"/>
                <c:pt idx="0">
                  <c:v>Cash</c:v>
                </c:pt>
                <c:pt idx="1">
                  <c:v>Card</c:v>
                </c:pt>
                <c:pt idx="2">
                  <c:v>Bank Transfer</c:v>
                </c:pt>
                <c:pt idx="3">
                  <c:v>MFS (bKash/Nagad)</c:v>
                </c:pt>
              </c:strCache>
            </c:strRef>
          </c:cat>
          <c:val>
            <c:numRef>
              <c:f>'Collection Analysis'!$B$54:$B$57</c:f>
              <c:numCache>
                <c:formatCode>#,##0;\(#,##0\);\-</c:formatCode>
                <c:ptCount val="4"/>
                <c:pt idx="0">
                  <c:v>1818930</c:v>
                </c:pt>
                <c:pt idx="1">
                  <c:v>1848547</c:v>
                </c:pt>
                <c:pt idx="2">
                  <c:v>684893</c:v>
                </c:pt>
                <c:pt idx="3">
                  <c:v>1062370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00-40EC-A201-DF28B4ED6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156240</xdr:rowOff>
    </xdr:from>
    <xdr:to>
      <xdr:col>5</xdr:col>
      <xdr:colOff>495130</xdr:colOff>
      <xdr:row>46</xdr:row>
      <xdr:rowOff>157320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78120</xdr:rowOff>
    </xdr:from>
    <xdr:to>
      <xdr:col>6</xdr:col>
      <xdr:colOff>151200</xdr:colOff>
      <xdr:row>50</xdr:row>
      <xdr:rowOff>58320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6</xdr:col>
      <xdr:colOff>727600</xdr:colOff>
      <xdr:row>71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81</xdr:row>
      <xdr:rowOff>78120</xdr:rowOff>
    </xdr:from>
    <xdr:to>
      <xdr:col>6</xdr:col>
      <xdr:colOff>10080</xdr:colOff>
      <xdr:row>98</xdr:row>
      <xdr:rowOff>79200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8</xdr:col>
      <xdr:colOff>70920</xdr:colOff>
      <xdr:row>49</xdr:row>
      <xdr:rowOff>149760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52</xdr:row>
      <xdr:rowOff>0</xdr:rowOff>
    </xdr:from>
    <xdr:to>
      <xdr:col>8</xdr:col>
      <xdr:colOff>136080</xdr:colOff>
      <xdr:row>68</xdr:row>
      <xdr:rowOff>79200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opLeftCell="A37" zoomScaleNormal="100" workbookViewId="0">
      <selection activeCell="C8" sqref="C8"/>
    </sheetView>
  </sheetViews>
  <sheetFormatPr defaultColWidth="8.6328125" defaultRowHeight="14.5" x14ac:dyDescent="0.35"/>
  <cols>
    <col min="1" max="1" width="35.6328125" bestFit="1" customWidth="1"/>
    <col min="2" max="2" width="14.81640625" bestFit="1" customWidth="1"/>
    <col min="3" max="3" width="18" bestFit="1" customWidth="1"/>
    <col min="4" max="4" width="22.1796875" bestFit="1" customWidth="1"/>
    <col min="5" max="5" width="14.7265625" bestFit="1" customWidth="1"/>
    <col min="6" max="6" width="15.6328125" bestFit="1" customWidth="1"/>
    <col min="7" max="7" width="16" customWidth="1"/>
    <col min="8" max="8" width="4" customWidth="1"/>
  </cols>
  <sheetData>
    <row r="1" spans="1:7" ht="27.75" customHeight="1" x14ac:dyDescent="0.35">
      <c r="A1" s="2" t="s">
        <v>0</v>
      </c>
      <c r="B1" s="2"/>
      <c r="C1" s="2"/>
      <c r="D1" s="2"/>
      <c r="E1" s="2"/>
      <c r="F1" s="2"/>
      <c r="G1" s="2"/>
    </row>
    <row r="2" spans="1:7" ht="15.75" customHeight="1" x14ac:dyDescent="0.35">
      <c r="A2" s="1" t="s">
        <v>1</v>
      </c>
      <c r="B2" s="1"/>
      <c r="C2" s="1"/>
      <c r="D2" s="1"/>
      <c r="E2" s="1"/>
      <c r="F2" s="1"/>
      <c r="G2" s="1"/>
    </row>
    <row r="4" spans="1:7" ht="18" customHeight="1" x14ac:dyDescent="0.35">
      <c r="A4" s="3" t="s">
        <v>2</v>
      </c>
      <c r="B4" s="3" t="s">
        <v>3</v>
      </c>
      <c r="C4" s="3" t="s">
        <v>4</v>
      </c>
      <c r="D4" s="3" t="s">
        <v>5</v>
      </c>
    </row>
    <row r="5" spans="1:7" ht="24" customHeight="1" x14ac:dyDescent="0.4">
      <c r="A5" s="4">
        <v>6232629</v>
      </c>
      <c r="B5" s="4">
        <v>3602880</v>
      </c>
      <c r="C5" s="4">
        <v>2594782</v>
      </c>
      <c r="D5" s="4">
        <v>2593875</v>
      </c>
    </row>
    <row r="6" spans="1:7" x14ac:dyDescent="0.35">
      <c r="A6" s="5">
        <v>0.189083551780584</v>
      </c>
      <c r="B6" s="5">
        <v>0.41416409245950297</v>
      </c>
      <c r="C6" s="5">
        <v>0.92421158168649298</v>
      </c>
      <c r="D6" s="5">
        <v>0.92362171498324397</v>
      </c>
    </row>
    <row r="9" spans="1:7" ht="15.5" x14ac:dyDescent="0.35">
      <c r="A9" s="6" t="s">
        <v>6</v>
      </c>
    </row>
    <row r="10" spans="1:7" ht="26" x14ac:dyDescent="0.35">
      <c r="A10" s="7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</row>
    <row r="11" spans="1:7" x14ac:dyDescent="0.35">
      <c r="A11" s="8" t="s">
        <v>13</v>
      </c>
      <c r="B11" s="9">
        <v>4844437</v>
      </c>
      <c r="C11" s="9">
        <v>5241540</v>
      </c>
      <c r="D11" s="9">
        <v>6232629</v>
      </c>
      <c r="E11" s="10">
        <v>1388192</v>
      </c>
      <c r="F11" s="11">
        <f t="shared" ref="F11:F16" si="0">E11/B11</f>
        <v>0.28655383484190217</v>
      </c>
    </row>
    <row r="12" spans="1:7" x14ac:dyDescent="0.35">
      <c r="A12" s="8" t="s">
        <v>14</v>
      </c>
      <c r="B12" s="9">
        <v>2364530</v>
      </c>
      <c r="C12" s="9">
        <v>2693830</v>
      </c>
      <c r="D12" s="9">
        <v>2629749</v>
      </c>
      <c r="E12" s="10">
        <v>265219</v>
      </c>
      <c r="F12" s="11">
        <f t="shared" si="0"/>
        <v>0.11216563122481001</v>
      </c>
    </row>
    <row r="13" spans="1:7" x14ac:dyDescent="0.35">
      <c r="A13" s="8" t="s">
        <v>15</v>
      </c>
      <c r="B13" s="9">
        <v>2479907</v>
      </c>
      <c r="C13" s="9">
        <v>2547710</v>
      </c>
      <c r="D13" s="9">
        <v>3602880</v>
      </c>
      <c r="E13" s="10">
        <v>1122973</v>
      </c>
      <c r="F13" s="11">
        <f t="shared" si="0"/>
        <v>0.45282867462368548</v>
      </c>
    </row>
    <row r="14" spans="1:7" x14ac:dyDescent="0.35">
      <c r="A14" s="8" t="s">
        <v>16</v>
      </c>
      <c r="B14" s="9">
        <v>1251305</v>
      </c>
      <c r="C14" s="9">
        <v>1199219</v>
      </c>
      <c r="D14" s="9">
        <v>1008098</v>
      </c>
      <c r="E14" s="10">
        <v>-243207</v>
      </c>
      <c r="F14" s="12">
        <f t="shared" si="0"/>
        <v>-0.19436268535648782</v>
      </c>
    </row>
    <row r="15" spans="1:7" x14ac:dyDescent="0.35">
      <c r="A15" s="8" t="s">
        <v>17</v>
      </c>
      <c r="B15" s="9">
        <v>1228602</v>
      </c>
      <c r="C15" s="9">
        <v>1348491</v>
      </c>
      <c r="D15" s="9">
        <v>2594782</v>
      </c>
      <c r="E15" s="10">
        <v>1366180</v>
      </c>
      <c r="F15" s="11">
        <f t="shared" si="0"/>
        <v>1.1119793065614414</v>
      </c>
    </row>
    <row r="16" spans="1:7" x14ac:dyDescent="0.35">
      <c r="A16" s="8" t="s">
        <v>18</v>
      </c>
      <c r="B16" s="9">
        <v>1228544</v>
      </c>
      <c r="C16" s="9">
        <v>1348433</v>
      </c>
      <c r="D16" s="9">
        <v>2593875</v>
      </c>
      <c r="E16" s="10">
        <v>1365331</v>
      </c>
      <c r="F16" s="11">
        <f t="shared" si="0"/>
        <v>1.1113407415607419</v>
      </c>
    </row>
    <row r="18" spans="1:6" ht="15.5" x14ac:dyDescent="0.35">
      <c r="A18" s="6" t="s">
        <v>19</v>
      </c>
    </row>
    <row r="19" spans="1:6" x14ac:dyDescent="0.35">
      <c r="A19" s="7" t="s">
        <v>20</v>
      </c>
      <c r="B19" s="7" t="s">
        <v>8</v>
      </c>
      <c r="C19" s="7" t="s">
        <v>9</v>
      </c>
      <c r="D19" s="7" t="s">
        <v>10</v>
      </c>
    </row>
    <row r="20" spans="1:6" x14ac:dyDescent="0.35">
      <c r="A20" s="8" t="s">
        <v>21</v>
      </c>
      <c r="B20" s="13">
        <v>0.511908194904795</v>
      </c>
      <c r="C20" s="13">
        <v>0.48606134838234599</v>
      </c>
      <c r="D20" s="13">
        <v>0.57806745756886901</v>
      </c>
    </row>
    <row r="21" spans="1:6" x14ac:dyDescent="0.35">
      <c r="A21" s="8" t="s">
        <v>22</v>
      </c>
      <c r="B21" s="13">
        <v>0.25361089431031902</v>
      </c>
      <c r="C21" s="13">
        <v>0.25727000080129098</v>
      </c>
      <c r="D21" s="13">
        <v>0.41632222935136998</v>
      </c>
    </row>
    <row r="22" spans="1:6" x14ac:dyDescent="0.35">
      <c r="A22" s="8" t="s">
        <v>23</v>
      </c>
      <c r="B22" s="13">
        <v>0.25359892181485699</v>
      </c>
      <c r="C22" s="13">
        <v>0.25725893535106098</v>
      </c>
      <c r="D22" s="13">
        <v>0.416176704886493</v>
      </c>
    </row>
    <row r="25" spans="1:6" x14ac:dyDescent="0.35">
      <c r="A25" s="14" t="s">
        <v>24</v>
      </c>
    </row>
    <row r="26" spans="1:6" ht="26" x14ac:dyDescent="0.35">
      <c r="A26" s="7" t="s">
        <v>25</v>
      </c>
      <c r="B26" s="7" t="s">
        <v>13</v>
      </c>
      <c r="C26" s="7" t="s">
        <v>26</v>
      </c>
      <c r="D26" s="7" t="s">
        <v>15</v>
      </c>
      <c r="E26" s="7" t="s">
        <v>17</v>
      </c>
      <c r="F26" s="7" t="s">
        <v>18</v>
      </c>
    </row>
    <row r="27" spans="1:6" x14ac:dyDescent="0.35">
      <c r="A27" s="15" t="s">
        <v>8</v>
      </c>
      <c r="B27" s="9">
        <v>4844437</v>
      </c>
      <c r="C27" s="9">
        <v>2364530</v>
      </c>
      <c r="D27" s="9">
        <v>2479907</v>
      </c>
      <c r="E27" s="9">
        <v>1228602</v>
      </c>
      <c r="F27" s="9">
        <v>1228544</v>
      </c>
    </row>
    <row r="28" spans="1:6" x14ac:dyDescent="0.35">
      <c r="A28" s="15" t="s">
        <v>9</v>
      </c>
      <c r="B28" s="9">
        <v>5241540</v>
      </c>
      <c r="C28" s="9">
        <v>2693830</v>
      </c>
      <c r="D28" s="9">
        <v>2547710</v>
      </c>
      <c r="E28" s="9">
        <v>1348491</v>
      </c>
      <c r="F28" s="9">
        <v>1348433</v>
      </c>
    </row>
    <row r="29" spans="1:6" x14ac:dyDescent="0.35">
      <c r="A29" s="15" t="s">
        <v>10</v>
      </c>
      <c r="B29" s="9">
        <v>6232629</v>
      </c>
      <c r="C29" s="9">
        <v>2629749</v>
      </c>
      <c r="D29" s="9">
        <v>3602880</v>
      </c>
      <c r="E29" s="9">
        <v>2594782</v>
      </c>
      <c r="F29" s="9">
        <v>2593875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showGridLines="0" topLeftCell="A34" zoomScaleNormal="100" workbookViewId="0">
      <selection sqref="A1:F1"/>
    </sheetView>
  </sheetViews>
  <sheetFormatPr defaultColWidth="8.6328125" defaultRowHeight="14.5" x14ac:dyDescent="0.35"/>
  <cols>
    <col min="1" max="1" width="30" customWidth="1"/>
    <col min="2" max="6" width="14" customWidth="1"/>
    <col min="7" max="7" width="4" customWidth="1"/>
  </cols>
  <sheetData>
    <row r="1" spans="1:6" ht="27.75" customHeight="1" x14ac:dyDescent="0.35">
      <c r="A1" s="2" t="s">
        <v>27</v>
      </c>
      <c r="B1" s="2"/>
      <c r="C1" s="2"/>
      <c r="D1" s="2"/>
      <c r="E1" s="2"/>
      <c r="F1" s="2"/>
    </row>
    <row r="2" spans="1:6" ht="15.75" customHeight="1" x14ac:dyDescent="0.35">
      <c r="A2" s="1" t="s">
        <v>28</v>
      </c>
      <c r="B2" s="1"/>
      <c r="C2" s="1"/>
      <c r="D2" s="1"/>
      <c r="E2" s="1"/>
      <c r="F2" s="1"/>
    </row>
    <row r="4" spans="1:6" ht="26" x14ac:dyDescent="0.35">
      <c r="A4" s="7" t="s">
        <v>29</v>
      </c>
      <c r="B4" s="7" t="s">
        <v>8</v>
      </c>
      <c r="C4" s="7" t="s">
        <v>9</v>
      </c>
      <c r="D4" s="7" t="s">
        <v>10</v>
      </c>
      <c r="E4" s="7" t="s">
        <v>30</v>
      </c>
      <c r="F4" s="7" t="s">
        <v>12</v>
      </c>
    </row>
    <row r="5" spans="1:6" x14ac:dyDescent="0.35">
      <c r="A5" s="15" t="s">
        <v>31</v>
      </c>
      <c r="B5" s="9">
        <v>2985095</v>
      </c>
      <c r="C5" s="9">
        <v>3494070</v>
      </c>
      <c r="D5" s="9">
        <v>4126114</v>
      </c>
      <c r="E5" s="16">
        <f t="shared" ref="E5:E19" si="0">D5/D$20</f>
        <v>0.66201822697933732</v>
      </c>
      <c r="F5" s="16">
        <f t="shared" ref="F5:F20" si="1">IFERROR((D5-B5)/B5,"n/a")</f>
        <v>0.38223875622048881</v>
      </c>
    </row>
    <row r="6" spans="1:6" x14ac:dyDescent="0.35">
      <c r="A6" s="15" t="s">
        <v>32</v>
      </c>
      <c r="B6" s="9">
        <v>1094491</v>
      </c>
      <c r="C6" s="9">
        <v>1008014</v>
      </c>
      <c r="D6" s="9">
        <v>1201391</v>
      </c>
      <c r="E6" s="16">
        <f t="shared" si="0"/>
        <v>0.1927583047218116</v>
      </c>
      <c r="F6" s="16">
        <f t="shared" si="1"/>
        <v>9.7670972168798095E-2</v>
      </c>
    </row>
    <row r="7" spans="1:6" x14ac:dyDescent="0.35">
      <c r="A7" s="15" t="s">
        <v>33</v>
      </c>
      <c r="B7" s="9">
        <v>77100</v>
      </c>
      <c r="C7" s="9">
        <v>95800</v>
      </c>
      <c r="D7" s="9">
        <v>124500</v>
      </c>
      <c r="E7" s="16">
        <f t="shared" si="0"/>
        <v>1.9975519158929561E-2</v>
      </c>
      <c r="F7" s="16">
        <f t="shared" si="1"/>
        <v>0.61478599221789887</v>
      </c>
    </row>
    <row r="8" spans="1:6" x14ac:dyDescent="0.35">
      <c r="A8" s="15" t="s">
        <v>34</v>
      </c>
      <c r="B8" s="9">
        <v>14300</v>
      </c>
      <c r="C8" s="9">
        <v>38400</v>
      </c>
      <c r="D8" s="9">
        <v>44900</v>
      </c>
      <c r="E8" s="16">
        <f t="shared" si="0"/>
        <v>7.204022572176204E-3</v>
      </c>
      <c r="F8" s="16">
        <f t="shared" si="1"/>
        <v>2.13986013986014</v>
      </c>
    </row>
    <row r="9" spans="1:6" x14ac:dyDescent="0.35">
      <c r="A9" s="15" t="s">
        <v>35</v>
      </c>
      <c r="B9" s="9">
        <v>5000</v>
      </c>
      <c r="C9" s="9">
        <v>2000</v>
      </c>
      <c r="D9" s="9">
        <v>0</v>
      </c>
      <c r="E9" s="16">
        <f t="shared" si="0"/>
        <v>0</v>
      </c>
      <c r="F9" s="16">
        <f t="shared" si="1"/>
        <v>-1</v>
      </c>
    </row>
    <row r="10" spans="1:6" x14ac:dyDescent="0.35">
      <c r="A10" s="15" t="s">
        <v>36</v>
      </c>
      <c r="B10" s="9">
        <v>0</v>
      </c>
      <c r="C10" s="9">
        <v>7000</v>
      </c>
      <c r="D10" s="9">
        <v>2000</v>
      </c>
      <c r="E10" s="16">
        <f t="shared" si="0"/>
        <v>3.208918740390291E-4</v>
      </c>
      <c r="F10" s="16" t="str">
        <f t="shared" si="1"/>
        <v>n/a</v>
      </c>
    </row>
    <row r="11" spans="1:6" x14ac:dyDescent="0.35">
      <c r="A11" s="15" t="s">
        <v>37</v>
      </c>
      <c r="B11" s="9">
        <v>2850</v>
      </c>
      <c r="C11" s="9">
        <v>1300</v>
      </c>
      <c r="D11" s="9">
        <v>1100</v>
      </c>
      <c r="E11" s="16">
        <f t="shared" si="0"/>
        <v>1.76490530721466E-4</v>
      </c>
      <c r="F11" s="16">
        <f t="shared" si="1"/>
        <v>-0.61403508771929827</v>
      </c>
    </row>
    <row r="12" spans="1:6" x14ac:dyDescent="0.35">
      <c r="A12" s="15" t="s">
        <v>38</v>
      </c>
      <c r="B12" s="9">
        <v>0</v>
      </c>
      <c r="C12" s="9">
        <v>0</v>
      </c>
      <c r="D12" s="9">
        <v>1050</v>
      </c>
      <c r="E12" s="16">
        <f t="shared" si="0"/>
        <v>1.6846823387049029E-4</v>
      </c>
      <c r="F12" s="16" t="str">
        <f t="shared" si="1"/>
        <v>n/a</v>
      </c>
    </row>
    <row r="13" spans="1:6" x14ac:dyDescent="0.35">
      <c r="A13" s="15" t="s">
        <v>39</v>
      </c>
      <c r="B13" s="9">
        <v>2360</v>
      </c>
      <c r="C13" s="9">
        <v>440</v>
      </c>
      <c r="D13" s="9">
        <v>1880</v>
      </c>
      <c r="E13" s="16">
        <f t="shared" si="0"/>
        <v>3.0163836159668739E-4</v>
      </c>
      <c r="F13" s="16">
        <f t="shared" si="1"/>
        <v>-0.20338983050847459</v>
      </c>
    </row>
    <row r="14" spans="1:6" x14ac:dyDescent="0.35">
      <c r="A14" s="15" t="s">
        <v>40</v>
      </c>
      <c r="B14" s="9">
        <v>4000</v>
      </c>
      <c r="C14" s="9">
        <v>2950</v>
      </c>
      <c r="D14" s="9">
        <v>5600</v>
      </c>
      <c r="E14" s="16">
        <f t="shared" si="0"/>
        <v>8.9849724730928151E-4</v>
      </c>
      <c r="F14" s="16">
        <f t="shared" si="1"/>
        <v>0.4</v>
      </c>
    </row>
    <row r="15" spans="1:6" x14ac:dyDescent="0.35">
      <c r="A15" s="15" t="s">
        <v>41</v>
      </c>
      <c r="B15" s="9">
        <v>50844</v>
      </c>
      <c r="C15" s="9">
        <v>7500</v>
      </c>
      <c r="D15" s="9">
        <v>46875</v>
      </c>
      <c r="E15" s="16">
        <f t="shared" si="0"/>
        <v>7.5209032977897449E-3</v>
      </c>
      <c r="F15" s="16">
        <f t="shared" si="1"/>
        <v>-7.8062308236960115E-2</v>
      </c>
    </row>
    <row r="16" spans="1:6" x14ac:dyDescent="0.35">
      <c r="A16" s="15" t="s">
        <v>42</v>
      </c>
      <c r="B16" s="9">
        <v>6550</v>
      </c>
      <c r="C16" s="9">
        <v>2900</v>
      </c>
      <c r="D16" s="9">
        <v>4100</v>
      </c>
      <c r="E16" s="16">
        <f t="shared" si="0"/>
        <v>6.5782834178000973E-4</v>
      </c>
      <c r="F16" s="16">
        <f t="shared" si="1"/>
        <v>-0.37404580152671757</v>
      </c>
    </row>
    <row r="17" spans="1:6" x14ac:dyDescent="0.35">
      <c r="A17" s="15" t="s">
        <v>43</v>
      </c>
      <c r="B17" s="9">
        <v>0</v>
      </c>
      <c r="C17" s="9">
        <v>3442</v>
      </c>
      <c r="D17" s="9">
        <v>5932</v>
      </c>
      <c r="E17" s="16">
        <f t="shared" si="0"/>
        <v>9.5176529839976034E-4</v>
      </c>
      <c r="F17" s="16" t="str">
        <f t="shared" si="1"/>
        <v>n/a</v>
      </c>
    </row>
    <row r="18" spans="1:6" x14ac:dyDescent="0.35">
      <c r="A18" s="15" t="s">
        <v>44</v>
      </c>
      <c r="B18" s="9">
        <v>118600</v>
      </c>
      <c r="C18" s="9">
        <v>10660</v>
      </c>
      <c r="D18" s="9">
        <v>11025</v>
      </c>
      <c r="E18" s="16">
        <f t="shared" si="0"/>
        <v>1.7689164556401479E-3</v>
      </c>
      <c r="F18" s="16">
        <f t="shared" si="1"/>
        <v>-0.90704047217537942</v>
      </c>
    </row>
    <row r="19" spans="1:6" x14ac:dyDescent="0.35">
      <c r="A19" s="15" t="s">
        <v>45</v>
      </c>
      <c r="B19" s="9">
        <v>483247</v>
      </c>
      <c r="C19" s="9">
        <v>567064</v>
      </c>
      <c r="D19" s="9">
        <v>656162</v>
      </c>
      <c r="E19" s="16">
        <f t="shared" si="0"/>
        <v>0.10527852692659871</v>
      </c>
      <c r="F19" s="16">
        <f t="shared" si="1"/>
        <v>0.35781908630576081</v>
      </c>
    </row>
    <row r="20" spans="1:6" x14ac:dyDescent="0.35">
      <c r="A20" s="17" t="s">
        <v>13</v>
      </c>
      <c r="B20" s="18">
        <f>SUM(B5:B19)</f>
        <v>4844437</v>
      </c>
      <c r="C20" s="18">
        <f>SUM(C5:C19)</f>
        <v>5241540</v>
      </c>
      <c r="D20" s="18">
        <f>SUM(D5:D19)</f>
        <v>6232629</v>
      </c>
      <c r="E20" s="19">
        <v>1</v>
      </c>
      <c r="F20" s="19">
        <f t="shared" si="1"/>
        <v>0.28655383484190217</v>
      </c>
    </row>
    <row r="23" spans="1:6" x14ac:dyDescent="0.35">
      <c r="A23" s="14" t="s">
        <v>46</v>
      </c>
    </row>
    <row r="24" spans="1:6" x14ac:dyDescent="0.35">
      <c r="A24" s="7" t="s">
        <v>47</v>
      </c>
      <c r="B24" s="7" t="s">
        <v>8</v>
      </c>
      <c r="C24" s="7" t="s">
        <v>9</v>
      </c>
      <c r="D24" s="7" t="s">
        <v>10</v>
      </c>
    </row>
    <row r="25" spans="1:6" x14ac:dyDescent="0.35">
      <c r="A25" s="15" t="s">
        <v>31</v>
      </c>
      <c r="B25" s="9">
        <v>2985095</v>
      </c>
      <c r="C25" s="9">
        <v>3494070</v>
      </c>
      <c r="D25" s="9">
        <v>4126114</v>
      </c>
    </row>
    <row r="26" spans="1:6" x14ac:dyDescent="0.35">
      <c r="A26" s="15" t="s">
        <v>32</v>
      </c>
      <c r="B26" s="9">
        <v>1094491</v>
      </c>
      <c r="C26" s="9">
        <v>1008014</v>
      </c>
      <c r="D26" s="9">
        <v>1201391</v>
      </c>
    </row>
    <row r="27" spans="1:6" x14ac:dyDescent="0.35">
      <c r="A27" s="15" t="s">
        <v>45</v>
      </c>
      <c r="B27" s="9">
        <v>483247</v>
      </c>
      <c r="C27" s="9">
        <v>567064</v>
      </c>
      <c r="D27" s="9">
        <v>656162</v>
      </c>
    </row>
    <row r="28" spans="1:6" x14ac:dyDescent="0.35">
      <c r="A28" s="15" t="s">
        <v>33</v>
      </c>
      <c r="B28" s="9">
        <v>77100</v>
      </c>
      <c r="C28" s="9">
        <v>95800</v>
      </c>
      <c r="D28" s="9">
        <v>124500</v>
      </c>
    </row>
    <row r="29" spans="1:6" x14ac:dyDescent="0.35">
      <c r="A29" s="15" t="s">
        <v>41</v>
      </c>
      <c r="B29" s="9">
        <v>50844</v>
      </c>
      <c r="C29" s="9">
        <v>7500</v>
      </c>
      <c r="D29" s="9">
        <v>46875</v>
      </c>
    </row>
    <row r="30" spans="1:6" x14ac:dyDescent="0.35">
      <c r="A30" s="15" t="s">
        <v>34</v>
      </c>
      <c r="B30" s="9">
        <v>14300</v>
      </c>
      <c r="C30" s="9">
        <v>38400</v>
      </c>
      <c r="D30" s="9">
        <v>44900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0"/>
  <sheetViews>
    <sheetView showGridLines="0" zoomScaleNormal="100" workbookViewId="0">
      <selection activeCell="G6" sqref="G6:H19"/>
    </sheetView>
  </sheetViews>
  <sheetFormatPr defaultColWidth="8.6328125" defaultRowHeight="14.5" x14ac:dyDescent="0.35"/>
  <cols>
    <col min="1" max="1" width="32" customWidth="1"/>
    <col min="2" max="6" width="14" customWidth="1"/>
    <col min="7" max="7" width="28.54296875" bestFit="1" customWidth="1"/>
  </cols>
  <sheetData>
    <row r="1" spans="1:6" ht="27.75" customHeight="1" x14ac:dyDescent="0.35">
      <c r="A1" s="2" t="s">
        <v>48</v>
      </c>
      <c r="B1" s="2"/>
      <c r="C1" s="2"/>
      <c r="D1" s="2"/>
      <c r="E1" s="2"/>
      <c r="F1" s="2"/>
    </row>
    <row r="2" spans="1:6" ht="15.75" customHeight="1" x14ac:dyDescent="0.35">
      <c r="A2" s="1" t="s">
        <v>28</v>
      </c>
      <c r="B2" s="1"/>
      <c r="C2" s="1"/>
      <c r="D2" s="1"/>
      <c r="E2" s="1"/>
      <c r="F2" s="1"/>
    </row>
    <row r="4" spans="1:6" ht="15.5" x14ac:dyDescent="0.35">
      <c r="A4" s="6" t="s">
        <v>49</v>
      </c>
    </row>
    <row r="5" spans="1:6" x14ac:dyDescent="0.35">
      <c r="A5" s="7" t="s">
        <v>50</v>
      </c>
      <c r="B5" s="7" t="s">
        <v>8</v>
      </c>
      <c r="C5" s="7" t="s">
        <v>9</v>
      </c>
      <c r="D5" s="7" t="s">
        <v>10</v>
      </c>
      <c r="E5" s="7" t="s">
        <v>12</v>
      </c>
    </row>
    <row r="6" spans="1:6" x14ac:dyDescent="0.35">
      <c r="A6" s="15" t="s">
        <v>51</v>
      </c>
      <c r="B6" s="9">
        <v>47200</v>
      </c>
      <c r="C6" s="9">
        <v>52200</v>
      </c>
      <c r="D6" s="9">
        <v>72325</v>
      </c>
      <c r="E6" s="16">
        <f t="shared" ref="E6:E18" si="0">IFERROR((D6-B6)/B6,"n/a")</f>
        <v>0.53230932203389836</v>
      </c>
    </row>
    <row r="7" spans="1:6" x14ac:dyDescent="0.35">
      <c r="A7" s="15" t="s">
        <v>52</v>
      </c>
      <c r="B7" s="9">
        <v>9000</v>
      </c>
      <c r="C7" s="9">
        <v>9000</v>
      </c>
      <c r="D7" s="9">
        <v>18000</v>
      </c>
      <c r="E7" s="16">
        <f t="shared" si="0"/>
        <v>1</v>
      </c>
    </row>
    <row r="8" spans="1:6" x14ac:dyDescent="0.35">
      <c r="A8" s="15" t="s">
        <v>53</v>
      </c>
      <c r="B8" s="9">
        <v>422957</v>
      </c>
      <c r="C8" s="9">
        <v>194289</v>
      </c>
      <c r="D8" s="9">
        <v>188191</v>
      </c>
      <c r="E8" s="16">
        <f t="shared" si="0"/>
        <v>-0.55505878848204426</v>
      </c>
    </row>
    <row r="9" spans="1:6" x14ac:dyDescent="0.35">
      <c r="A9" s="15" t="s">
        <v>54</v>
      </c>
      <c r="B9" s="9">
        <v>146794</v>
      </c>
      <c r="C9" s="9">
        <v>174015</v>
      </c>
      <c r="D9" s="9">
        <v>209451</v>
      </c>
      <c r="E9" s="16">
        <f t="shared" si="0"/>
        <v>0.4268362467130809</v>
      </c>
    </row>
    <row r="10" spans="1:6" x14ac:dyDescent="0.35">
      <c r="A10" s="15" t="s">
        <v>55</v>
      </c>
      <c r="B10" s="9">
        <v>16485</v>
      </c>
      <c r="C10" s="9">
        <v>2300</v>
      </c>
      <c r="D10" s="9">
        <v>14780</v>
      </c>
      <c r="E10" s="16">
        <f t="shared" si="0"/>
        <v>-0.10342735820442826</v>
      </c>
    </row>
    <row r="11" spans="1:6" x14ac:dyDescent="0.35">
      <c r="A11" s="15" t="s">
        <v>56</v>
      </c>
      <c r="B11" s="9">
        <v>4950</v>
      </c>
      <c r="C11" s="9">
        <v>4950</v>
      </c>
      <c r="D11" s="9">
        <v>10600</v>
      </c>
      <c r="E11" s="16">
        <f t="shared" si="0"/>
        <v>1.1414141414141414</v>
      </c>
    </row>
    <row r="12" spans="1:6" x14ac:dyDescent="0.35">
      <c r="A12" s="15" t="s">
        <v>57</v>
      </c>
      <c r="B12" s="9">
        <v>182675</v>
      </c>
      <c r="C12" s="9">
        <v>117550</v>
      </c>
      <c r="D12" s="9">
        <v>46300</v>
      </c>
      <c r="E12" s="16">
        <f t="shared" si="0"/>
        <v>-0.74654440947037093</v>
      </c>
    </row>
    <row r="13" spans="1:6" x14ac:dyDescent="0.35">
      <c r="A13" s="15" t="s">
        <v>58</v>
      </c>
      <c r="B13" s="9">
        <v>559283</v>
      </c>
      <c r="C13" s="9">
        <v>531227</v>
      </c>
      <c r="D13" s="9">
        <v>595039</v>
      </c>
      <c r="E13" s="16">
        <f t="shared" si="0"/>
        <v>6.3931855607983798E-2</v>
      </c>
    </row>
    <row r="14" spans="1:6" x14ac:dyDescent="0.35">
      <c r="A14" s="15" t="s">
        <v>59</v>
      </c>
      <c r="B14" s="9">
        <v>90512</v>
      </c>
      <c r="C14" s="9">
        <v>107648</v>
      </c>
      <c r="D14" s="9">
        <v>141472</v>
      </c>
      <c r="E14" s="16">
        <f t="shared" si="0"/>
        <v>0.56301926816333747</v>
      </c>
    </row>
    <row r="15" spans="1:6" x14ac:dyDescent="0.35">
      <c r="A15" s="15" t="s">
        <v>60</v>
      </c>
      <c r="B15" s="9">
        <v>143000</v>
      </c>
      <c r="C15" s="9">
        <v>104000</v>
      </c>
      <c r="D15" s="9">
        <v>73900</v>
      </c>
      <c r="E15" s="16">
        <f t="shared" si="0"/>
        <v>-0.48321678321678324</v>
      </c>
    </row>
    <row r="16" spans="1:6" x14ac:dyDescent="0.35">
      <c r="A16" s="15" t="s">
        <v>61</v>
      </c>
      <c r="B16" s="9">
        <v>106632</v>
      </c>
      <c r="C16" s="9">
        <v>77310</v>
      </c>
      <c r="D16" s="9">
        <v>98940</v>
      </c>
      <c r="E16" s="16">
        <f t="shared" si="0"/>
        <v>-7.2135944181859105E-2</v>
      </c>
    </row>
    <row r="17" spans="1:5" x14ac:dyDescent="0.35">
      <c r="A17" s="15" t="s">
        <v>62</v>
      </c>
      <c r="B17" s="9">
        <v>635042</v>
      </c>
      <c r="C17" s="9">
        <v>1319341</v>
      </c>
      <c r="D17" s="9">
        <v>1160751</v>
      </c>
      <c r="E17" s="16">
        <f t="shared" si="0"/>
        <v>0.82783343463896875</v>
      </c>
    </row>
    <row r="18" spans="1:5" x14ac:dyDescent="0.35">
      <c r="A18" s="17" t="s">
        <v>14</v>
      </c>
      <c r="B18" s="18">
        <f>SUM(B6:B17)</f>
        <v>2364530</v>
      </c>
      <c r="C18" s="18">
        <f>SUM(C6:C17)</f>
        <v>2693830</v>
      </c>
      <c r="D18" s="18">
        <f>SUM(D6:D17)</f>
        <v>2629749</v>
      </c>
      <c r="E18" s="19">
        <f t="shared" si="0"/>
        <v>0.11216563122481001</v>
      </c>
    </row>
    <row r="20" spans="1:5" ht="15.5" x14ac:dyDescent="0.35">
      <c r="A20" s="6" t="s">
        <v>63</v>
      </c>
    </row>
    <row r="21" spans="1:5" x14ac:dyDescent="0.35">
      <c r="A21" s="7" t="s">
        <v>50</v>
      </c>
      <c r="B21" s="7" t="s">
        <v>8</v>
      </c>
      <c r="C21" s="7" t="s">
        <v>9</v>
      </c>
      <c r="D21" s="7" t="s">
        <v>10</v>
      </c>
      <c r="E21" s="7" t="s">
        <v>12</v>
      </c>
    </row>
    <row r="22" spans="1:5" x14ac:dyDescent="0.35">
      <c r="A22" s="15" t="s">
        <v>64</v>
      </c>
      <c r="B22" s="9">
        <v>1468</v>
      </c>
      <c r="C22" s="9">
        <v>1180</v>
      </c>
      <c r="D22" s="9">
        <v>2000</v>
      </c>
      <c r="E22" s="16">
        <f t="shared" ref="E22:E41" si="1">IFERROR((D22-B22)/B22,"n/a")</f>
        <v>0.36239782016348776</v>
      </c>
    </row>
    <row r="23" spans="1:5" x14ac:dyDescent="0.35">
      <c r="A23" s="15" t="s">
        <v>65</v>
      </c>
      <c r="B23" s="9">
        <v>24000</v>
      </c>
      <c r="C23" s="9">
        <v>20000</v>
      </c>
      <c r="D23" s="9">
        <v>16000</v>
      </c>
      <c r="E23" s="16">
        <f t="shared" si="1"/>
        <v>-0.33333333333333331</v>
      </c>
    </row>
    <row r="24" spans="1:5" x14ac:dyDescent="0.35">
      <c r="A24" s="15" t="s">
        <v>66</v>
      </c>
      <c r="B24" s="9">
        <v>1275</v>
      </c>
      <c r="C24" s="9">
        <v>1466</v>
      </c>
      <c r="D24" s="9">
        <v>73120</v>
      </c>
      <c r="E24" s="16">
        <f t="shared" si="1"/>
        <v>56.34901960784314</v>
      </c>
    </row>
    <row r="25" spans="1:5" x14ac:dyDescent="0.35">
      <c r="A25" s="15" t="s">
        <v>67</v>
      </c>
      <c r="B25" s="9">
        <v>8446</v>
      </c>
      <c r="C25" s="9">
        <v>3678</v>
      </c>
      <c r="D25" s="9">
        <v>11217</v>
      </c>
      <c r="E25" s="16">
        <f t="shared" si="1"/>
        <v>0.32808430026047836</v>
      </c>
    </row>
    <row r="26" spans="1:5" x14ac:dyDescent="0.35">
      <c r="A26" s="15" t="s">
        <v>68</v>
      </c>
      <c r="B26" s="9">
        <v>443824</v>
      </c>
      <c r="C26" s="9">
        <v>497789</v>
      </c>
      <c r="D26" s="9">
        <v>482240</v>
      </c>
      <c r="E26" s="16">
        <f t="shared" si="1"/>
        <v>8.6556833339341721E-2</v>
      </c>
    </row>
    <row r="27" spans="1:5" x14ac:dyDescent="0.35">
      <c r="A27" s="15" t="s">
        <v>69</v>
      </c>
      <c r="B27" s="9">
        <v>22000</v>
      </c>
      <c r="C27" s="9">
        <v>25000</v>
      </c>
      <c r="D27" s="9">
        <v>20000</v>
      </c>
      <c r="E27" s="16">
        <f t="shared" si="1"/>
        <v>-9.0909090909090912E-2</v>
      </c>
    </row>
    <row r="28" spans="1:5" x14ac:dyDescent="0.35">
      <c r="A28" s="15" t="s">
        <v>70</v>
      </c>
      <c r="B28" s="9">
        <v>23825</v>
      </c>
      <c r="C28" s="9">
        <v>23025</v>
      </c>
      <c r="D28" s="9">
        <v>23025</v>
      </c>
      <c r="E28" s="16">
        <f t="shared" si="1"/>
        <v>-3.3578174186778595E-2</v>
      </c>
    </row>
    <row r="29" spans="1:5" x14ac:dyDescent="0.35">
      <c r="A29" s="15" t="s">
        <v>71</v>
      </c>
      <c r="B29" s="9">
        <v>0</v>
      </c>
      <c r="C29" s="9">
        <v>46137</v>
      </c>
      <c r="D29" s="9">
        <v>0</v>
      </c>
      <c r="E29" s="16" t="str">
        <f t="shared" si="1"/>
        <v>n/a</v>
      </c>
    </row>
    <row r="30" spans="1:5" x14ac:dyDescent="0.35">
      <c r="A30" s="15" t="s">
        <v>72</v>
      </c>
      <c r="B30" s="9">
        <v>123500</v>
      </c>
      <c r="C30" s="9">
        <v>123500</v>
      </c>
      <c r="D30" s="9">
        <v>123500</v>
      </c>
      <c r="E30" s="16">
        <f t="shared" si="1"/>
        <v>0</v>
      </c>
    </row>
    <row r="31" spans="1:5" x14ac:dyDescent="0.35">
      <c r="A31" s="15" t="s">
        <v>73</v>
      </c>
      <c r="B31" s="9">
        <v>4490</v>
      </c>
      <c r="C31" s="9">
        <v>5515</v>
      </c>
      <c r="D31" s="9">
        <v>5630</v>
      </c>
      <c r="E31" s="16">
        <f t="shared" si="1"/>
        <v>0.25389755011135856</v>
      </c>
    </row>
    <row r="32" spans="1:5" x14ac:dyDescent="0.35">
      <c r="A32" s="15" t="s">
        <v>74</v>
      </c>
      <c r="B32" s="9">
        <v>4636</v>
      </c>
      <c r="C32" s="9">
        <v>36100</v>
      </c>
      <c r="D32" s="9">
        <v>5845</v>
      </c>
      <c r="E32" s="16">
        <f t="shared" si="1"/>
        <v>0.26078515962036236</v>
      </c>
    </row>
    <row r="33" spans="1:5" x14ac:dyDescent="0.35">
      <c r="A33" s="15" t="s">
        <v>75</v>
      </c>
      <c r="B33" s="9">
        <v>69995</v>
      </c>
      <c r="C33" s="9">
        <v>56595</v>
      </c>
      <c r="D33" s="9">
        <v>71163</v>
      </c>
      <c r="E33" s="16">
        <f t="shared" si="1"/>
        <v>1.6686906207586255E-2</v>
      </c>
    </row>
    <row r="34" spans="1:5" x14ac:dyDescent="0.35">
      <c r="A34" s="15" t="s">
        <v>76</v>
      </c>
      <c r="B34" s="9">
        <v>172820</v>
      </c>
      <c r="C34" s="9">
        <v>0</v>
      </c>
      <c r="D34" s="9">
        <v>0</v>
      </c>
      <c r="E34" s="16">
        <f t="shared" si="1"/>
        <v>-1</v>
      </c>
    </row>
    <row r="35" spans="1:5" x14ac:dyDescent="0.35">
      <c r="A35" s="15" t="s">
        <v>77</v>
      </c>
      <c r="B35" s="9">
        <v>224341</v>
      </c>
      <c r="C35" s="9">
        <v>193936</v>
      </c>
      <c r="D35" s="9">
        <v>0</v>
      </c>
      <c r="E35" s="16">
        <f t="shared" si="1"/>
        <v>-1</v>
      </c>
    </row>
    <row r="36" spans="1:5" x14ac:dyDescent="0.35">
      <c r="A36" s="15" t="s">
        <v>78</v>
      </c>
      <c r="B36" s="9">
        <v>69495</v>
      </c>
      <c r="C36" s="9">
        <v>92898</v>
      </c>
      <c r="D36" s="9">
        <v>111502</v>
      </c>
      <c r="E36" s="16">
        <f t="shared" si="1"/>
        <v>0.6044607525721275</v>
      </c>
    </row>
    <row r="37" spans="1:5" x14ac:dyDescent="0.35">
      <c r="A37" s="15" t="s">
        <v>79</v>
      </c>
      <c r="B37" s="9">
        <v>5405</v>
      </c>
      <c r="C37" s="9">
        <v>12955</v>
      </c>
      <c r="D37" s="9">
        <v>14010</v>
      </c>
      <c r="E37" s="16">
        <f t="shared" si="1"/>
        <v>1.5920444033302497</v>
      </c>
    </row>
    <row r="38" spans="1:5" x14ac:dyDescent="0.35">
      <c r="A38" s="15" t="s">
        <v>80</v>
      </c>
      <c r="B38" s="9">
        <v>13220</v>
      </c>
      <c r="C38" s="9">
        <v>10750</v>
      </c>
      <c r="D38" s="9">
        <v>11050</v>
      </c>
      <c r="E38" s="16">
        <f t="shared" si="1"/>
        <v>-0.16414523449319213</v>
      </c>
    </row>
    <row r="39" spans="1:5" x14ac:dyDescent="0.35">
      <c r="A39" s="15" t="s">
        <v>81</v>
      </c>
      <c r="B39" s="9">
        <v>35565</v>
      </c>
      <c r="C39" s="9">
        <v>48695</v>
      </c>
      <c r="D39" s="9">
        <v>33396</v>
      </c>
      <c r="E39" s="16">
        <f t="shared" si="1"/>
        <v>-6.0986925347954447E-2</v>
      </c>
    </row>
    <row r="40" spans="1:5" x14ac:dyDescent="0.35">
      <c r="A40" s="15" t="s">
        <v>82</v>
      </c>
      <c r="B40" s="9">
        <v>3000</v>
      </c>
      <c r="C40" s="9">
        <v>0</v>
      </c>
      <c r="D40" s="9">
        <v>0</v>
      </c>
      <c r="E40" s="16">
        <f t="shared" si="1"/>
        <v>-1</v>
      </c>
    </row>
    <row r="41" spans="1:5" x14ac:dyDescent="0.35">
      <c r="A41" s="17" t="s">
        <v>16</v>
      </c>
      <c r="B41" s="18">
        <f>SUM(B22:B40)</f>
        <v>1251305</v>
      </c>
      <c r="C41" s="18">
        <f>SUM(C22:C40)</f>
        <v>1199219</v>
      </c>
      <c r="D41" s="18">
        <f>SUM(D22:D40)</f>
        <v>1003698</v>
      </c>
      <c r="E41" s="19">
        <f t="shared" si="1"/>
        <v>-0.19787901430906135</v>
      </c>
    </row>
    <row r="44" spans="1:5" x14ac:dyDescent="0.35">
      <c r="A44" s="14" t="s">
        <v>83</v>
      </c>
    </row>
    <row r="45" spans="1:5" x14ac:dyDescent="0.35">
      <c r="A45" s="7" t="s">
        <v>50</v>
      </c>
      <c r="B45" s="7" t="s">
        <v>8</v>
      </c>
      <c r="C45" s="7" t="s">
        <v>9</v>
      </c>
      <c r="D45" s="7" t="s">
        <v>10</v>
      </c>
    </row>
    <row r="46" spans="1:5" x14ac:dyDescent="0.35">
      <c r="A46" s="15" t="s">
        <v>62</v>
      </c>
      <c r="B46" s="9">
        <v>635042</v>
      </c>
      <c r="C46" s="9">
        <v>1319341</v>
      </c>
      <c r="D46" s="9">
        <v>1160751</v>
      </c>
    </row>
    <row r="47" spans="1:5" x14ac:dyDescent="0.35">
      <c r="A47" s="15" t="s">
        <v>58</v>
      </c>
      <c r="B47" s="9">
        <v>559283</v>
      </c>
      <c r="C47" s="9">
        <v>531227</v>
      </c>
      <c r="D47" s="9">
        <v>595039</v>
      </c>
    </row>
    <row r="48" spans="1:5" x14ac:dyDescent="0.35">
      <c r="A48" s="15" t="s">
        <v>54</v>
      </c>
      <c r="B48" s="9">
        <v>146794</v>
      </c>
      <c r="C48" s="9">
        <v>174015</v>
      </c>
      <c r="D48" s="9">
        <v>209451</v>
      </c>
    </row>
    <row r="49" spans="1:4" x14ac:dyDescent="0.35">
      <c r="A49" s="15" t="s">
        <v>53</v>
      </c>
      <c r="B49" s="9">
        <v>422957</v>
      </c>
      <c r="C49" s="9">
        <v>194289</v>
      </c>
      <c r="D49" s="9">
        <v>188191</v>
      </c>
    </row>
    <row r="50" spans="1:4" x14ac:dyDescent="0.35">
      <c r="A50" s="15" t="s">
        <v>59</v>
      </c>
      <c r="B50" s="9">
        <v>90512</v>
      </c>
      <c r="C50" s="9">
        <v>107648</v>
      </c>
      <c r="D50" s="9">
        <v>141472</v>
      </c>
    </row>
    <row r="51" spans="1:4" x14ac:dyDescent="0.35">
      <c r="A51" s="15" t="s">
        <v>61</v>
      </c>
      <c r="B51" s="9">
        <v>106632</v>
      </c>
      <c r="C51" s="9">
        <v>77310</v>
      </c>
      <c r="D51" s="9">
        <v>98940</v>
      </c>
    </row>
    <row r="76" spans="1:3" x14ac:dyDescent="0.35">
      <c r="A76" s="14" t="s">
        <v>84</v>
      </c>
    </row>
    <row r="77" spans="1:3" ht="26" x14ac:dyDescent="0.35">
      <c r="A77" s="7" t="s">
        <v>25</v>
      </c>
      <c r="B77" s="7" t="s">
        <v>26</v>
      </c>
      <c r="C77" s="7" t="s">
        <v>85</v>
      </c>
    </row>
    <row r="78" spans="1:3" x14ac:dyDescent="0.35">
      <c r="A78" s="15" t="s">
        <v>8</v>
      </c>
      <c r="B78" s="9">
        <v>2364530</v>
      </c>
      <c r="C78" s="9">
        <v>1251305</v>
      </c>
    </row>
    <row r="79" spans="1:3" x14ac:dyDescent="0.35">
      <c r="A79" s="15" t="s">
        <v>9</v>
      </c>
      <c r="B79" s="9">
        <v>2693830</v>
      </c>
      <c r="C79" s="9">
        <v>1199219</v>
      </c>
    </row>
    <row r="80" spans="1:3" x14ac:dyDescent="0.35">
      <c r="A80" s="15" t="s">
        <v>10</v>
      </c>
      <c r="B80" s="9">
        <v>2629749</v>
      </c>
      <c r="C80" s="9">
        <v>1008098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4"/>
  <sheetViews>
    <sheetView showGridLines="0" tabSelected="1" topLeftCell="A16" zoomScaleNormal="100" workbookViewId="0">
      <selection activeCell="F59" sqref="F59"/>
    </sheetView>
  </sheetViews>
  <sheetFormatPr defaultColWidth="8.6328125" defaultRowHeight="14.5" x14ac:dyDescent="0.35"/>
  <cols>
    <col min="1" max="1" width="34" customWidth="1"/>
    <col min="2" max="6" width="14" customWidth="1"/>
  </cols>
  <sheetData>
    <row r="1" spans="1:5" ht="27.75" customHeight="1" x14ac:dyDescent="0.35">
      <c r="A1" s="2" t="s">
        <v>86</v>
      </c>
      <c r="B1" s="2"/>
      <c r="C1" s="2"/>
      <c r="D1" s="2"/>
      <c r="E1" s="2"/>
    </row>
    <row r="2" spans="1:5" ht="15.75" customHeight="1" x14ac:dyDescent="0.35">
      <c r="A2" s="1" t="s">
        <v>87</v>
      </c>
      <c r="B2" s="1"/>
      <c r="C2" s="1"/>
      <c r="D2" s="1"/>
      <c r="E2" s="1"/>
    </row>
    <row r="4" spans="1:5" x14ac:dyDescent="0.35">
      <c r="A4" s="7" t="s">
        <v>7</v>
      </c>
      <c r="B4" s="7" t="s">
        <v>8</v>
      </c>
      <c r="C4" s="7" t="s">
        <v>9</v>
      </c>
      <c r="D4" s="7" t="s">
        <v>10</v>
      </c>
      <c r="E4" s="7" t="s">
        <v>12</v>
      </c>
    </row>
    <row r="5" spans="1:5" x14ac:dyDescent="0.35">
      <c r="A5" s="20" t="s">
        <v>88</v>
      </c>
      <c r="B5" s="21"/>
      <c r="C5" s="21"/>
      <c r="D5" s="21"/>
      <c r="E5" s="21"/>
    </row>
    <row r="6" spans="1:5" x14ac:dyDescent="0.35">
      <c r="A6" s="15" t="s">
        <v>31</v>
      </c>
      <c r="B6" s="9">
        <v>2985095</v>
      </c>
      <c r="C6" s="9">
        <v>3494070</v>
      </c>
      <c r="D6" s="9">
        <v>4126114</v>
      </c>
      <c r="E6" s="16">
        <f t="shared" ref="E6:E21" si="0">IFERROR((D6-B6)/B6,"n/a")</f>
        <v>0.38223875622048881</v>
      </c>
    </row>
    <row r="7" spans="1:5" x14ac:dyDescent="0.35">
      <c r="A7" s="15" t="s">
        <v>32</v>
      </c>
      <c r="B7" s="9">
        <v>1094491</v>
      </c>
      <c r="C7" s="9">
        <v>1008014</v>
      </c>
      <c r="D7" s="9">
        <v>1201391</v>
      </c>
      <c r="E7" s="16">
        <f t="shared" si="0"/>
        <v>9.7670972168798095E-2</v>
      </c>
    </row>
    <row r="8" spans="1:5" x14ac:dyDescent="0.35">
      <c r="A8" s="15" t="s">
        <v>33</v>
      </c>
      <c r="B8" s="9">
        <v>77100</v>
      </c>
      <c r="C8" s="9">
        <v>95800</v>
      </c>
      <c r="D8" s="9">
        <v>124500</v>
      </c>
      <c r="E8" s="16">
        <f t="shared" si="0"/>
        <v>0.61478599221789887</v>
      </c>
    </row>
    <row r="9" spans="1:5" x14ac:dyDescent="0.35">
      <c r="A9" s="15" t="s">
        <v>34</v>
      </c>
      <c r="B9" s="9">
        <v>14300</v>
      </c>
      <c r="C9" s="9">
        <v>38400</v>
      </c>
      <c r="D9" s="9">
        <v>44900</v>
      </c>
      <c r="E9" s="16">
        <f t="shared" si="0"/>
        <v>2.13986013986014</v>
      </c>
    </row>
    <row r="10" spans="1:5" x14ac:dyDescent="0.35">
      <c r="A10" s="15" t="s">
        <v>35</v>
      </c>
      <c r="B10" s="9">
        <v>5000</v>
      </c>
      <c r="C10" s="9">
        <v>2000</v>
      </c>
      <c r="D10" s="9">
        <v>0</v>
      </c>
      <c r="E10" s="16">
        <f t="shared" si="0"/>
        <v>-1</v>
      </c>
    </row>
    <row r="11" spans="1:5" x14ac:dyDescent="0.35">
      <c r="A11" s="15" t="s">
        <v>36</v>
      </c>
      <c r="B11" s="9">
        <v>0</v>
      </c>
      <c r="C11" s="9">
        <v>7000</v>
      </c>
      <c r="D11" s="9">
        <v>2000</v>
      </c>
      <c r="E11" s="16" t="str">
        <f t="shared" si="0"/>
        <v>n/a</v>
      </c>
    </row>
    <row r="12" spans="1:5" x14ac:dyDescent="0.35">
      <c r="A12" s="15" t="s">
        <v>37</v>
      </c>
      <c r="B12" s="9">
        <v>2850</v>
      </c>
      <c r="C12" s="9">
        <v>1300</v>
      </c>
      <c r="D12" s="9">
        <v>1100</v>
      </c>
      <c r="E12" s="16">
        <f t="shared" si="0"/>
        <v>-0.61403508771929827</v>
      </c>
    </row>
    <row r="13" spans="1:5" x14ac:dyDescent="0.35">
      <c r="A13" s="15" t="s">
        <v>38</v>
      </c>
      <c r="B13" s="9">
        <v>0</v>
      </c>
      <c r="C13" s="9">
        <v>0</v>
      </c>
      <c r="D13" s="9">
        <v>1050</v>
      </c>
      <c r="E13" s="16" t="str">
        <f t="shared" si="0"/>
        <v>n/a</v>
      </c>
    </row>
    <row r="14" spans="1:5" x14ac:dyDescent="0.35">
      <c r="A14" s="15" t="s">
        <v>39</v>
      </c>
      <c r="B14" s="9">
        <v>2360</v>
      </c>
      <c r="C14" s="9">
        <v>440</v>
      </c>
      <c r="D14" s="9">
        <v>1880</v>
      </c>
      <c r="E14" s="16">
        <f t="shared" si="0"/>
        <v>-0.20338983050847459</v>
      </c>
    </row>
    <row r="15" spans="1:5" x14ac:dyDescent="0.35">
      <c r="A15" s="15" t="s">
        <v>40</v>
      </c>
      <c r="B15" s="9">
        <v>4000</v>
      </c>
      <c r="C15" s="9">
        <v>2950</v>
      </c>
      <c r="D15" s="9">
        <v>5600</v>
      </c>
      <c r="E15" s="16">
        <f t="shared" si="0"/>
        <v>0.4</v>
      </c>
    </row>
    <row r="16" spans="1:5" x14ac:dyDescent="0.35">
      <c r="A16" s="15" t="s">
        <v>41</v>
      </c>
      <c r="B16" s="9">
        <v>50844</v>
      </c>
      <c r="C16" s="9">
        <v>7500</v>
      </c>
      <c r="D16" s="9">
        <v>46875</v>
      </c>
      <c r="E16" s="16">
        <f t="shared" si="0"/>
        <v>-7.8062308236960115E-2</v>
      </c>
    </row>
    <row r="17" spans="1:5" x14ac:dyDescent="0.35">
      <c r="A17" s="15" t="s">
        <v>42</v>
      </c>
      <c r="B17" s="9">
        <v>6550</v>
      </c>
      <c r="C17" s="9">
        <v>2900</v>
      </c>
      <c r="D17" s="9">
        <v>4100</v>
      </c>
      <c r="E17" s="16">
        <f t="shared" si="0"/>
        <v>-0.37404580152671757</v>
      </c>
    </row>
    <row r="18" spans="1:5" x14ac:dyDescent="0.35">
      <c r="A18" s="15" t="s">
        <v>43</v>
      </c>
      <c r="B18" s="9">
        <v>0</v>
      </c>
      <c r="C18" s="9">
        <v>3442</v>
      </c>
      <c r="D18" s="9">
        <v>5932</v>
      </c>
      <c r="E18" s="16" t="str">
        <f t="shared" si="0"/>
        <v>n/a</v>
      </c>
    </row>
    <row r="19" spans="1:5" x14ac:dyDescent="0.35">
      <c r="A19" s="15" t="s">
        <v>44</v>
      </c>
      <c r="B19" s="9">
        <v>118600</v>
      </c>
      <c r="C19" s="9">
        <v>10660</v>
      </c>
      <c r="D19" s="9">
        <v>11025</v>
      </c>
      <c r="E19" s="16">
        <f t="shared" si="0"/>
        <v>-0.90704047217537942</v>
      </c>
    </row>
    <row r="20" spans="1:5" x14ac:dyDescent="0.35">
      <c r="A20" s="15" t="s">
        <v>45</v>
      </c>
      <c r="B20" s="9">
        <v>483247</v>
      </c>
      <c r="C20" s="9">
        <v>567064</v>
      </c>
      <c r="D20" s="9">
        <v>656162</v>
      </c>
      <c r="E20" s="16">
        <f t="shared" si="0"/>
        <v>0.35781908630576081</v>
      </c>
    </row>
    <row r="21" spans="1:5" x14ac:dyDescent="0.35">
      <c r="A21" s="17" t="s">
        <v>13</v>
      </c>
      <c r="B21" s="18">
        <v>4844437</v>
      </c>
      <c r="C21" s="18">
        <v>5241540</v>
      </c>
      <c r="D21" s="18">
        <v>6232629</v>
      </c>
      <c r="E21" s="19">
        <f t="shared" si="0"/>
        <v>0.28655383484190217</v>
      </c>
    </row>
    <row r="23" spans="1:5" x14ac:dyDescent="0.35">
      <c r="A23" s="20" t="s">
        <v>89</v>
      </c>
      <c r="B23" s="21"/>
      <c r="C23" s="21"/>
      <c r="D23" s="21"/>
      <c r="E23" s="21"/>
    </row>
    <row r="24" spans="1:5" x14ac:dyDescent="0.35">
      <c r="A24" s="15" t="s">
        <v>51</v>
      </c>
      <c r="B24" s="9">
        <v>47200</v>
      </c>
      <c r="C24" s="9">
        <v>52200</v>
      </c>
      <c r="D24" s="9">
        <v>72325</v>
      </c>
      <c r="E24" s="16">
        <f t="shared" ref="E24:E36" si="1">IFERROR((D24-B24)/B24,"n/a")</f>
        <v>0.53230932203389836</v>
      </c>
    </row>
    <row r="25" spans="1:5" x14ac:dyDescent="0.35">
      <c r="A25" s="15" t="s">
        <v>52</v>
      </c>
      <c r="B25" s="9">
        <v>9000</v>
      </c>
      <c r="C25" s="9">
        <v>9000</v>
      </c>
      <c r="D25" s="9">
        <v>18000</v>
      </c>
      <c r="E25" s="16">
        <f t="shared" si="1"/>
        <v>1</v>
      </c>
    </row>
    <row r="26" spans="1:5" x14ac:dyDescent="0.35">
      <c r="A26" s="15" t="s">
        <v>53</v>
      </c>
      <c r="B26" s="9">
        <v>422957</v>
      </c>
      <c r="C26" s="9">
        <v>194289</v>
      </c>
      <c r="D26" s="9">
        <v>188191</v>
      </c>
      <c r="E26" s="16">
        <f t="shared" si="1"/>
        <v>-0.55505878848204426</v>
      </c>
    </row>
    <row r="27" spans="1:5" x14ac:dyDescent="0.35">
      <c r="A27" s="15" t="s">
        <v>54</v>
      </c>
      <c r="B27" s="9">
        <v>146794</v>
      </c>
      <c r="C27" s="9">
        <v>174015</v>
      </c>
      <c r="D27" s="9">
        <v>209451</v>
      </c>
      <c r="E27" s="16">
        <f t="shared" si="1"/>
        <v>0.4268362467130809</v>
      </c>
    </row>
    <row r="28" spans="1:5" x14ac:dyDescent="0.35">
      <c r="A28" s="15" t="s">
        <v>55</v>
      </c>
      <c r="B28" s="9">
        <v>16485</v>
      </c>
      <c r="C28" s="9">
        <v>2300</v>
      </c>
      <c r="D28" s="9">
        <v>14780</v>
      </c>
      <c r="E28" s="16">
        <f t="shared" si="1"/>
        <v>-0.10342735820442826</v>
      </c>
    </row>
    <row r="29" spans="1:5" x14ac:dyDescent="0.35">
      <c r="A29" s="15" t="s">
        <v>56</v>
      </c>
      <c r="B29" s="9">
        <v>4950</v>
      </c>
      <c r="C29" s="9">
        <v>4950</v>
      </c>
      <c r="D29" s="9">
        <v>10600</v>
      </c>
      <c r="E29" s="16">
        <f t="shared" si="1"/>
        <v>1.1414141414141414</v>
      </c>
    </row>
    <row r="30" spans="1:5" x14ac:dyDescent="0.35">
      <c r="A30" s="15" t="s">
        <v>57</v>
      </c>
      <c r="B30" s="9">
        <v>182675</v>
      </c>
      <c r="C30" s="9">
        <v>117550</v>
      </c>
      <c r="D30" s="9">
        <v>46300</v>
      </c>
      <c r="E30" s="16">
        <f t="shared" si="1"/>
        <v>-0.74654440947037093</v>
      </c>
    </row>
    <row r="31" spans="1:5" x14ac:dyDescent="0.35">
      <c r="A31" s="15" t="s">
        <v>58</v>
      </c>
      <c r="B31" s="9">
        <v>559283</v>
      </c>
      <c r="C31" s="9">
        <v>531227</v>
      </c>
      <c r="D31" s="9">
        <v>595039</v>
      </c>
      <c r="E31" s="16">
        <f t="shared" si="1"/>
        <v>6.3931855607983798E-2</v>
      </c>
    </row>
    <row r="32" spans="1:5" x14ac:dyDescent="0.35">
      <c r="A32" s="15" t="s">
        <v>59</v>
      </c>
      <c r="B32" s="9">
        <v>90512</v>
      </c>
      <c r="C32" s="9">
        <v>107648</v>
      </c>
      <c r="D32" s="9">
        <v>141472</v>
      </c>
      <c r="E32" s="16">
        <f t="shared" si="1"/>
        <v>0.56301926816333747</v>
      </c>
    </row>
    <row r="33" spans="1:5" x14ac:dyDescent="0.35">
      <c r="A33" s="15" t="s">
        <v>60</v>
      </c>
      <c r="B33" s="9">
        <v>143000</v>
      </c>
      <c r="C33" s="9">
        <v>104000</v>
      </c>
      <c r="D33" s="9">
        <v>73900</v>
      </c>
      <c r="E33" s="16">
        <f t="shared" si="1"/>
        <v>-0.48321678321678324</v>
      </c>
    </row>
    <row r="34" spans="1:5" x14ac:dyDescent="0.35">
      <c r="A34" s="15" t="s">
        <v>61</v>
      </c>
      <c r="B34" s="9">
        <v>106632</v>
      </c>
      <c r="C34" s="9">
        <v>77310</v>
      </c>
      <c r="D34" s="9">
        <v>98940</v>
      </c>
      <c r="E34" s="16">
        <f t="shared" si="1"/>
        <v>-7.2135944181859105E-2</v>
      </c>
    </row>
    <row r="35" spans="1:5" x14ac:dyDescent="0.35">
      <c r="A35" s="15" t="s">
        <v>62</v>
      </c>
      <c r="B35" s="9">
        <v>635042</v>
      </c>
      <c r="C35" s="9">
        <v>1319341</v>
      </c>
      <c r="D35" s="9">
        <v>1160751</v>
      </c>
      <c r="E35" s="16">
        <f t="shared" si="1"/>
        <v>0.82783343463896875</v>
      </c>
    </row>
    <row r="36" spans="1:5" x14ac:dyDescent="0.35">
      <c r="A36" s="17" t="s">
        <v>14</v>
      </c>
      <c r="B36" s="18">
        <v>2364530</v>
      </c>
      <c r="C36" s="18">
        <v>2693830</v>
      </c>
      <c r="D36" s="18">
        <v>2629749</v>
      </c>
      <c r="E36" s="19">
        <f t="shared" si="1"/>
        <v>0.11216563122481001</v>
      </c>
    </row>
    <row r="38" spans="1:5" x14ac:dyDescent="0.35">
      <c r="A38" s="22" t="s">
        <v>90</v>
      </c>
      <c r="B38" s="23">
        <v>2479907</v>
      </c>
      <c r="C38" s="23">
        <v>2547710</v>
      </c>
      <c r="D38" s="23">
        <v>3602880</v>
      </c>
      <c r="E38" s="24">
        <f>IFERROR((D38-B38)/B38,"n/a")</f>
        <v>0.45282867462368548</v>
      </c>
    </row>
    <row r="40" spans="1:5" x14ac:dyDescent="0.35">
      <c r="A40" s="20" t="s">
        <v>91</v>
      </c>
      <c r="B40" s="21"/>
      <c r="C40" s="21"/>
      <c r="D40" s="21"/>
      <c r="E40" s="21"/>
    </row>
    <row r="41" spans="1:5" x14ac:dyDescent="0.35">
      <c r="A41" s="15" t="s">
        <v>64</v>
      </c>
      <c r="B41" s="9">
        <v>1468</v>
      </c>
      <c r="C41" s="9">
        <v>1180</v>
      </c>
      <c r="D41" s="9">
        <v>2000</v>
      </c>
      <c r="E41" s="16">
        <f t="shared" ref="E41:E60" si="2">IFERROR((D41-B41)/B41,"n/a")</f>
        <v>0.36239782016348776</v>
      </c>
    </row>
    <row r="42" spans="1:5" x14ac:dyDescent="0.35">
      <c r="A42" s="15" t="s">
        <v>65</v>
      </c>
      <c r="B42" s="9">
        <v>24000</v>
      </c>
      <c r="C42" s="9">
        <v>20000</v>
      </c>
      <c r="D42" s="9">
        <v>16000</v>
      </c>
      <c r="E42" s="16">
        <f t="shared" si="2"/>
        <v>-0.33333333333333331</v>
      </c>
    </row>
    <row r="43" spans="1:5" x14ac:dyDescent="0.35">
      <c r="A43" s="15" t="s">
        <v>66</v>
      </c>
      <c r="B43" s="9">
        <v>1275</v>
      </c>
      <c r="C43" s="9">
        <v>1466</v>
      </c>
      <c r="D43" s="9">
        <v>73120</v>
      </c>
      <c r="E43" s="16">
        <f t="shared" si="2"/>
        <v>56.34901960784314</v>
      </c>
    </row>
    <row r="44" spans="1:5" x14ac:dyDescent="0.35">
      <c r="A44" s="15" t="s">
        <v>67</v>
      </c>
      <c r="B44" s="9">
        <v>8446</v>
      </c>
      <c r="C44" s="9">
        <v>3678</v>
      </c>
      <c r="D44" s="9">
        <v>11217</v>
      </c>
      <c r="E44" s="16">
        <f t="shared" si="2"/>
        <v>0.32808430026047836</v>
      </c>
    </row>
    <row r="45" spans="1:5" x14ac:dyDescent="0.35">
      <c r="A45" s="15" t="s">
        <v>68</v>
      </c>
      <c r="B45" s="9">
        <v>443824</v>
      </c>
      <c r="C45" s="9">
        <v>497789</v>
      </c>
      <c r="D45" s="9">
        <v>482240</v>
      </c>
      <c r="E45" s="16">
        <f t="shared" si="2"/>
        <v>8.6556833339341721E-2</v>
      </c>
    </row>
    <row r="46" spans="1:5" x14ac:dyDescent="0.35">
      <c r="A46" s="15" t="s">
        <v>69</v>
      </c>
      <c r="B46" s="9">
        <v>22000</v>
      </c>
      <c r="C46" s="9">
        <v>25000</v>
      </c>
      <c r="D46" s="9">
        <v>20000</v>
      </c>
      <c r="E46" s="16">
        <f t="shared" si="2"/>
        <v>-9.0909090909090912E-2</v>
      </c>
    </row>
    <row r="47" spans="1:5" x14ac:dyDescent="0.35">
      <c r="A47" s="15" t="s">
        <v>70</v>
      </c>
      <c r="B47" s="9">
        <v>23825</v>
      </c>
      <c r="C47" s="9">
        <v>23025</v>
      </c>
      <c r="D47" s="9">
        <v>23025</v>
      </c>
      <c r="E47" s="16">
        <f t="shared" si="2"/>
        <v>-3.3578174186778595E-2</v>
      </c>
    </row>
    <row r="48" spans="1:5" x14ac:dyDescent="0.35">
      <c r="A48" s="15" t="s">
        <v>71</v>
      </c>
      <c r="B48" s="9">
        <v>0</v>
      </c>
      <c r="C48" s="9">
        <v>46137</v>
      </c>
      <c r="D48" s="9">
        <v>0</v>
      </c>
      <c r="E48" s="16" t="str">
        <f t="shared" si="2"/>
        <v>n/a</v>
      </c>
    </row>
    <row r="49" spans="1:5" x14ac:dyDescent="0.35">
      <c r="A49" s="15" t="s">
        <v>72</v>
      </c>
      <c r="B49" s="9">
        <v>123500</v>
      </c>
      <c r="C49" s="9">
        <v>123500</v>
      </c>
      <c r="D49" s="9">
        <v>123500</v>
      </c>
      <c r="E49" s="16">
        <f t="shared" si="2"/>
        <v>0</v>
      </c>
    </row>
    <row r="50" spans="1:5" x14ac:dyDescent="0.35">
      <c r="A50" s="15" t="s">
        <v>73</v>
      </c>
      <c r="B50" s="9">
        <v>4490</v>
      </c>
      <c r="C50" s="9">
        <v>5515</v>
      </c>
      <c r="D50" s="9">
        <v>5630</v>
      </c>
      <c r="E50" s="16">
        <f t="shared" si="2"/>
        <v>0.25389755011135856</v>
      </c>
    </row>
    <row r="51" spans="1:5" x14ac:dyDescent="0.35">
      <c r="A51" s="15" t="s">
        <v>74</v>
      </c>
      <c r="B51" s="9">
        <v>4636</v>
      </c>
      <c r="C51" s="9">
        <v>36100</v>
      </c>
      <c r="D51" s="9">
        <v>5845</v>
      </c>
      <c r="E51" s="16">
        <f t="shared" si="2"/>
        <v>0.26078515962036236</v>
      </c>
    </row>
    <row r="52" spans="1:5" x14ac:dyDescent="0.35">
      <c r="A52" s="15" t="s">
        <v>75</v>
      </c>
      <c r="B52" s="9">
        <v>69995</v>
      </c>
      <c r="C52" s="9">
        <v>56595</v>
      </c>
      <c r="D52" s="9">
        <v>71163</v>
      </c>
      <c r="E52" s="16">
        <f t="shared" si="2"/>
        <v>1.6686906207586255E-2</v>
      </c>
    </row>
    <row r="53" spans="1:5" x14ac:dyDescent="0.35">
      <c r="A53" s="15" t="s">
        <v>76</v>
      </c>
      <c r="B53" s="9">
        <v>172820</v>
      </c>
      <c r="C53" s="9">
        <v>0</v>
      </c>
      <c r="D53" s="9">
        <v>0</v>
      </c>
      <c r="E53" s="16">
        <f t="shared" si="2"/>
        <v>-1</v>
      </c>
    </row>
    <row r="54" spans="1:5" x14ac:dyDescent="0.35">
      <c r="A54" s="15" t="s">
        <v>77</v>
      </c>
      <c r="B54" s="9">
        <v>224341</v>
      </c>
      <c r="C54" s="9">
        <v>193936</v>
      </c>
      <c r="D54" s="9">
        <v>0</v>
      </c>
      <c r="E54" s="16">
        <f t="shared" si="2"/>
        <v>-1</v>
      </c>
    </row>
    <row r="55" spans="1:5" x14ac:dyDescent="0.35">
      <c r="A55" s="15" t="s">
        <v>78</v>
      </c>
      <c r="B55" s="9">
        <v>69495</v>
      </c>
      <c r="C55" s="9">
        <v>92898</v>
      </c>
      <c r="D55" s="9">
        <v>111502</v>
      </c>
      <c r="E55" s="16">
        <f t="shared" si="2"/>
        <v>0.6044607525721275</v>
      </c>
    </row>
    <row r="56" spans="1:5" x14ac:dyDescent="0.35">
      <c r="A56" s="15" t="s">
        <v>79</v>
      </c>
      <c r="B56" s="9">
        <v>5405</v>
      </c>
      <c r="C56" s="9">
        <v>12955</v>
      </c>
      <c r="D56" s="9">
        <v>14010</v>
      </c>
      <c r="E56" s="16">
        <f t="shared" si="2"/>
        <v>1.5920444033302497</v>
      </c>
    </row>
    <row r="57" spans="1:5" x14ac:dyDescent="0.35">
      <c r="A57" s="15" t="s">
        <v>80</v>
      </c>
      <c r="B57" s="9">
        <v>13220</v>
      </c>
      <c r="C57" s="9">
        <v>10750</v>
      </c>
      <c r="D57" s="9">
        <v>11050</v>
      </c>
      <c r="E57" s="16">
        <f t="shared" si="2"/>
        <v>-0.16414523449319213</v>
      </c>
    </row>
    <row r="58" spans="1:5" x14ac:dyDescent="0.35">
      <c r="A58" s="15" t="s">
        <v>81</v>
      </c>
      <c r="B58" s="9">
        <v>35565</v>
      </c>
      <c r="C58" s="9">
        <v>48695</v>
      </c>
      <c r="D58" s="9">
        <v>33396</v>
      </c>
      <c r="E58" s="16">
        <f t="shared" si="2"/>
        <v>-6.0986925347954447E-2</v>
      </c>
    </row>
    <row r="59" spans="1:5" x14ac:dyDescent="0.35">
      <c r="A59" s="15" t="s">
        <v>82</v>
      </c>
      <c r="B59" s="9">
        <v>3000</v>
      </c>
      <c r="C59" s="9">
        <v>0</v>
      </c>
      <c r="D59" s="9">
        <v>0</v>
      </c>
      <c r="E59" s="16">
        <f t="shared" si="2"/>
        <v>-1</v>
      </c>
    </row>
    <row r="60" spans="1:5" x14ac:dyDescent="0.35">
      <c r="A60" s="17" t="s">
        <v>16</v>
      </c>
      <c r="B60" s="18">
        <v>1251305</v>
      </c>
      <c r="C60" s="18">
        <v>1199219</v>
      </c>
      <c r="D60" s="18">
        <v>1008098</v>
      </c>
      <c r="E60" s="19">
        <f t="shared" si="2"/>
        <v>-0.19436268535648782</v>
      </c>
    </row>
    <row r="62" spans="1:5" x14ac:dyDescent="0.35">
      <c r="A62" s="22" t="s">
        <v>92</v>
      </c>
      <c r="B62" s="23">
        <v>1228602</v>
      </c>
      <c r="C62" s="23">
        <v>1348491</v>
      </c>
      <c r="D62" s="23">
        <v>2594782</v>
      </c>
      <c r="E62" s="24">
        <f>IFERROR((D62-B62)/B62,"n/a")</f>
        <v>1.1119793065614414</v>
      </c>
    </row>
    <row r="64" spans="1:5" x14ac:dyDescent="0.35">
      <c r="A64" s="22" t="s">
        <v>93</v>
      </c>
      <c r="B64" s="23">
        <v>1228544</v>
      </c>
      <c r="C64" s="23">
        <v>1348433</v>
      </c>
      <c r="D64" s="23">
        <v>2593875</v>
      </c>
      <c r="E64" s="24">
        <f>IFERROR((D64-B64)/B64,"n/a")</f>
        <v>1.1113407415607419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7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24" customWidth="1"/>
    <col min="2" max="6" width="14" customWidth="1"/>
  </cols>
  <sheetData>
    <row r="1" spans="1:5" ht="27.75" customHeight="1" x14ac:dyDescent="0.35">
      <c r="A1" s="2" t="s">
        <v>94</v>
      </c>
      <c r="B1" s="2"/>
      <c r="C1" s="2"/>
      <c r="D1" s="2"/>
      <c r="E1" s="2"/>
    </row>
    <row r="2" spans="1:5" ht="15.75" customHeight="1" x14ac:dyDescent="0.35">
      <c r="A2" s="1" t="s">
        <v>95</v>
      </c>
      <c r="B2" s="1"/>
      <c r="C2" s="1"/>
      <c r="D2" s="1"/>
      <c r="E2" s="1"/>
    </row>
    <row r="4" spans="1:5" x14ac:dyDescent="0.35">
      <c r="A4" s="7" t="s">
        <v>96</v>
      </c>
      <c r="B4" s="7" t="s">
        <v>8</v>
      </c>
      <c r="C4" s="7" t="s">
        <v>9</v>
      </c>
      <c r="D4" s="7" t="s">
        <v>10</v>
      </c>
      <c r="E4" s="7" t="s">
        <v>12</v>
      </c>
    </row>
    <row r="5" spans="1:5" x14ac:dyDescent="0.35">
      <c r="A5" s="15" t="s">
        <v>97</v>
      </c>
      <c r="B5" s="9">
        <v>1282317</v>
      </c>
      <c r="C5" s="9">
        <v>1170661</v>
      </c>
      <c r="D5" s="9">
        <v>1399503</v>
      </c>
      <c r="E5" s="16">
        <f t="shared" ref="E5:E14" si="0">IFERROR((D5-B5)/B5,"n/a")</f>
        <v>9.1386139308766864E-2</v>
      </c>
    </row>
    <row r="6" spans="1:5" x14ac:dyDescent="0.35">
      <c r="A6" s="15" t="s">
        <v>98</v>
      </c>
      <c r="B6" s="9">
        <v>1302745</v>
      </c>
      <c r="C6" s="9">
        <v>1395056</v>
      </c>
      <c r="D6" s="9">
        <v>1848547</v>
      </c>
      <c r="E6" s="16">
        <f t="shared" si="0"/>
        <v>0.41896303574375643</v>
      </c>
    </row>
    <row r="7" spans="1:5" x14ac:dyDescent="0.35">
      <c r="A7" s="15" t="s">
        <v>99</v>
      </c>
      <c r="B7" s="9">
        <v>79738</v>
      </c>
      <c r="C7" s="9">
        <v>114051</v>
      </c>
      <c r="D7" s="9">
        <v>74850</v>
      </c>
      <c r="E7" s="16">
        <f t="shared" si="0"/>
        <v>-6.1300759988963859E-2</v>
      </c>
    </row>
    <row r="8" spans="1:5" x14ac:dyDescent="0.35">
      <c r="A8" s="15" t="s">
        <v>100</v>
      </c>
      <c r="B8" s="9">
        <v>478819</v>
      </c>
      <c r="C8" s="9">
        <v>363479</v>
      </c>
      <c r="D8" s="9">
        <v>447347</v>
      </c>
      <c r="E8" s="16">
        <f t="shared" si="0"/>
        <v>-6.5728385882765722E-2</v>
      </c>
    </row>
    <row r="9" spans="1:5" x14ac:dyDescent="0.35">
      <c r="A9" s="15" t="s">
        <v>101</v>
      </c>
      <c r="B9" s="9">
        <v>261038</v>
      </c>
      <c r="C9" s="9">
        <v>297604</v>
      </c>
      <c r="D9" s="9">
        <v>450958</v>
      </c>
      <c r="E9" s="16">
        <f t="shared" si="0"/>
        <v>0.72755690742344026</v>
      </c>
    </row>
    <row r="10" spans="1:5" x14ac:dyDescent="0.35">
      <c r="A10" s="15" t="s">
        <v>102</v>
      </c>
      <c r="B10" s="9">
        <v>482245</v>
      </c>
      <c r="C10" s="9">
        <v>815103</v>
      </c>
      <c r="D10" s="9">
        <v>567096</v>
      </c>
      <c r="E10" s="16">
        <f t="shared" si="0"/>
        <v>0.17594998392933053</v>
      </c>
    </row>
    <row r="11" spans="1:5" x14ac:dyDescent="0.35">
      <c r="A11" s="15" t="s">
        <v>103</v>
      </c>
      <c r="B11" s="9">
        <v>374347</v>
      </c>
      <c r="C11" s="9">
        <v>189208</v>
      </c>
      <c r="D11" s="9">
        <v>419427</v>
      </c>
      <c r="E11" s="16">
        <f t="shared" si="0"/>
        <v>0.12042302996952026</v>
      </c>
    </row>
    <row r="12" spans="1:5" x14ac:dyDescent="0.35">
      <c r="A12" s="15" t="s">
        <v>104</v>
      </c>
      <c r="B12" s="9">
        <v>52924</v>
      </c>
      <c r="C12" s="9">
        <v>54271</v>
      </c>
      <c r="D12" s="9">
        <v>159085</v>
      </c>
      <c r="E12" s="16">
        <f t="shared" si="0"/>
        <v>2.0059141410324237</v>
      </c>
    </row>
    <row r="13" spans="1:5" x14ac:dyDescent="0.35">
      <c r="A13" s="15" t="s">
        <v>105</v>
      </c>
      <c r="B13" s="9">
        <v>50208</v>
      </c>
      <c r="C13" s="9">
        <v>30764</v>
      </c>
      <c r="D13" s="9">
        <v>47927</v>
      </c>
      <c r="E13" s="16">
        <f t="shared" si="0"/>
        <v>-4.5431007010834926E-2</v>
      </c>
    </row>
    <row r="14" spans="1:5" x14ac:dyDescent="0.35">
      <c r="A14" s="17" t="s">
        <v>106</v>
      </c>
      <c r="B14" s="18">
        <f>SUM(B5:B13)</f>
        <v>4364381</v>
      </c>
      <c r="C14" s="18">
        <f>SUM(C5:C13)</f>
        <v>4430197</v>
      </c>
      <c r="D14" s="18">
        <f>SUM(D5:D13)</f>
        <v>5414740</v>
      </c>
      <c r="E14" s="19">
        <f t="shared" si="0"/>
        <v>0.24066620214871251</v>
      </c>
    </row>
    <row r="17" spans="1:4" x14ac:dyDescent="0.35">
      <c r="A17" s="14" t="s">
        <v>107</v>
      </c>
    </row>
    <row r="18" spans="1:4" x14ac:dyDescent="0.35">
      <c r="A18" s="7" t="s">
        <v>96</v>
      </c>
      <c r="B18" s="7" t="s">
        <v>8</v>
      </c>
      <c r="C18" s="7" t="s">
        <v>9</v>
      </c>
      <c r="D18" s="7" t="s">
        <v>10</v>
      </c>
    </row>
    <row r="19" spans="1:4" x14ac:dyDescent="0.35">
      <c r="A19" s="15" t="s">
        <v>97</v>
      </c>
      <c r="B19" s="9">
        <v>1282317</v>
      </c>
      <c r="C19" s="9">
        <v>1170661</v>
      </c>
      <c r="D19" s="9">
        <v>1399503</v>
      </c>
    </row>
    <row r="20" spans="1:4" x14ac:dyDescent="0.35">
      <c r="A20" s="15" t="s">
        <v>98</v>
      </c>
      <c r="B20" s="9">
        <v>1302745</v>
      </c>
      <c r="C20" s="9">
        <v>1395056</v>
      </c>
      <c r="D20" s="9">
        <v>1848547</v>
      </c>
    </row>
    <row r="21" spans="1:4" x14ac:dyDescent="0.35">
      <c r="A21" s="15" t="s">
        <v>99</v>
      </c>
      <c r="B21" s="9">
        <v>79738</v>
      </c>
      <c r="C21" s="9">
        <v>114051</v>
      </c>
      <c r="D21" s="9">
        <v>74850</v>
      </c>
    </row>
    <row r="22" spans="1:4" x14ac:dyDescent="0.35">
      <c r="A22" s="15" t="s">
        <v>100</v>
      </c>
      <c r="B22" s="9">
        <v>478819</v>
      </c>
      <c r="C22" s="9">
        <v>363479</v>
      </c>
      <c r="D22" s="9">
        <v>447347</v>
      </c>
    </row>
    <row r="23" spans="1:4" x14ac:dyDescent="0.35">
      <c r="A23" s="15" t="s">
        <v>101</v>
      </c>
      <c r="B23" s="9">
        <v>261038</v>
      </c>
      <c r="C23" s="9">
        <v>297604</v>
      </c>
      <c r="D23" s="9">
        <v>450958</v>
      </c>
    </row>
    <row r="24" spans="1:4" x14ac:dyDescent="0.35">
      <c r="A24" s="15" t="s">
        <v>102</v>
      </c>
      <c r="B24" s="9">
        <v>482245</v>
      </c>
      <c r="C24" s="9">
        <v>815103</v>
      </c>
      <c r="D24" s="9">
        <v>567096</v>
      </c>
    </row>
    <row r="25" spans="1:4" x14ac:dyDescent="0.35">
      <c r="A25" s="15" t="s">
        <v>103</v>
      </c>
      <c r="B25" s="9">
        <v>374347</v>
      </c>
      <c r="C25" s="9">
        <v>189208</v>
      </c>
      <c r="D25" s="9">
        <v>419427</v>
      </c>
    </row>
    <row r="26" spans="1:4" x14ac:dyDescent="0.35">
      <c r="A26" s="15" t="s">
        <v>104</v>
      </c>
      <c r="B26" s="9">
        <v>52924</v>
      </c>
      <c r="C26" s="9">
        <v>54271</v>
      </c>
      <c r="D26" s="9">
        <v>159085</v>
      </c>
    </row>
    <row r="27" spans="1:4" x14ac:dyDescent="0.35">
      <c r="A27" s="15" t="s">
        <v>105</v>
      </c>
      <c r="B27" s="9">
        <v>50208</v>
      </c>
      <c r="C27" s="9">
        <v>30764</v>
      </c>
      <c r="D27" s="9">
        <v>47927</v>
      </c>
    </row>
    <row r="52" spans="1:2" x14ac:dyDescent="0.35">
      <c r="A52" s="14" t="s">
        <v>108</v>
      </c>
    </row>
    <row r="53" spans="1:2" ht="26" x14ac:dyDescent="0.35">
      <c r="A53" s="7" t="s">
        <v>109</v>
      </c>
      <c r="B53" s="7" t="s">
        <v>110</v>
      </c>
    </row>
    <row r="54" spans="1:2" x14ac:dyDescent="0.35">
      <c r="A54" s="15" t="s">
        <v>111</v>
      </c>
      <c r="B54" s="9">
        <v>1818930</v>
      </c>
    </row>
    <row r="55" spans="1:2" x14ac:dyDescent="0.35">
      <c r="A55" s="15" t="s">
        <v>112</v>
      </c>
      <c r="B55" s="9">
        <v>1848547</v>
      </c>
    </row>
    <row r="56" spans="1:2" x14ac:dyDescent="0.35">
      <c r="A56" s="15" t="s">
        <v>113</v>
      </c>
      <c r="B56" s="9">
        <v>684893</v>
      </c>
    </row>
    <row r="57" spans="1:2" x14ac:dyDescent="0.35">
      <c r="A57" s="15" t="s">
        <v>114</v>
      </c>
      <c r="B57" s="9">
        <v>1062370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8"/>
  <sheetViews>
    <sheetView showGridLines="0" zoomScaleNormal="100" workbookViewId="0">
      <selection sqref="A1:B1"/>
    </sheetView>
  </sheetViews>
  <sheetFormatPr defaultColWidth="8.6328125" defaultRowHeight="14.5" x14ac:dyDescent="0.35"/>
  <cols>
    <col min="1" max="1" width="4" customWidth="1"/>
    <col min="2" max="2" width="100" customWidth="1"/>
  </cols>
  <sheetData>
    <row r="1" spans="1:2" ht="27.75" customHeight="1" x14ac:dyDescent="0.35">
      <c r="A1" s="2" t="s">
        <v>115</v>
      </c>
      <c r="B1" s="2"/>
    </row>
    <row r="2" spans="1:2" ht="15.75" customHeight="1" x14ac:dyDescent="0.35">
      <c r="A2" s="1" t="s">
        <v>116</v>
      </c>
      <c r="B2" s="1"/>
    </row>
    <row r="4" spans="1:2" ht="15.5" x14ac:dyDescent="0.35">
      <c r="B4" s="6" t="s">
        <v>88</v>
      </c>
    </row>
    <row r="5" spans="1:2" ht="31.5" customHeight="1" x14ac:dyDescent="0.35">
      <c r="B5" s="25" t="s">
        <v>117</v>
      </c>
    </row>
    <row r="6" spans="1:2" ht="31.5" customHeight="1" x14ac:dyDescent="0.35">
      <c r="B6" s="25" t="s">
        <v>118</v>
      </c>
    </row>
    <row r="7" spans="1:2" ht="31.5" customHeight="1" x14ac:dyDescent="0.35">
      <c r="B7" s="25" t="s">
        <v>119</v>
      </c>
    </row>
    <row r="9" spans="1:2" ht="15.5" x14ac:dyDescent="0.35">
      <c r="B9" s="6" t="s">
        <v>120</v>
      </c>
    </row>
    <row r="10" spans="1:2" ht="31.5" customHeight="1" x14ac:dyDescent="0.35">
      <c r="B10" s="25" t="s">
        <v>121</v>
      </c>
    </row>
    <row r="11" spans="1:2" ht="31.5" customHeight="1" x14ac:dyDescent="0.35">
      <c r="B11" s="25" t="s">
        <v>122</v>
      </c>
    </row>
    <row r="12" spans="1:2" ht="31.5" customHeight="1" x14ac:dyDescent="0.35">
      <c r="B12" s="25" t="s">
        <v>123</v>
      </c>
    </row>
    <row r="13" spans="1:2" ht="31.5" customHeight="1" x14ac:dyDescent="0.35">
      <c r="B13" s="25" t="s">
        <v>124</v>
      </c>
    </row>
    <row r="15" spans="1:2" ht="15.5" x14ac:dyDescent="0.35">
      <c r="B15" s="6" t="s">
        <v>125</v>
      </c>
    </row>
    <row r="16" spans="1:2" ht="31.5" customHeight="1" x14ac:dyDescent="0.35">
      <c r="B16" s="25" t="s">
        <v>126</v>
      </c>
    </row>
    <row r="17" spans="2:2" ht="31.5" customHeight="1" x14ac:dyDescent="0.35">
      <c r="B17" s="25" t="s">
        <v>127</v>
      </c>
    </row>
    <row r="18" spans="2:2" ht="31.5" customHeight="1" x14ac:dyDescent="0.35">
      <c r="B18" s="25" t="s">
        <v>128</v>
      </c>
    </row>
    <row r="20" spans="2:2" ht="15.5" x14ac:dyDescent="0.35">
      <c r="B20" s="6" t="s">
        <v>129</v>
      </c>
    </row>
    <row r="21" spans="2:2" ht="31.5" customHeight="1" x14ac:dyDescent="0.35">
      <c r="B21" s="25" t="s">
        <v>130</v>
      </c>
    </row>
    <row r="22" spans="2:2" ht="31.5" customHeight="1" x14ac:dyDescent="0.35">
      <c r="B22" s="25" t="s">
        <v>131</v>
      </c>
    </row>
    <row r="24" spans="2:2" ht="15.5" x14ac:dyDescent="0.35">
      <c r="B24" s="6" t="s">
        <v>132</v>
      </c>
    </row>
    <row r="25" spans="2:2" ht="31.5" customHeight="1" x14ac:dyDescent="0.35">
      <c r="B25" s="25" t="s">
        <v>133</v>
      </c>
    </row>
    <row r="26" spans="2:2" ht="31.5" customHeight="1" x14ac:dyDescent="0.35">
      <c r="B26" s="25" t="s">
        <v>134</v>
      </c>
    </row>
    <row r="27" spans="2:2" ht="31.5" customHeight="1" x14ac:dyDescent="0.35">
      <c r="B27" s="25" t="s">
        <v>135</v>
      </c>
    </row>
    <row r="28" spans="2:2" ht="31.5" customHeight="1" x14ac:dyDescent="0.35">
      <c r="B28" s="25" t="s">
        <v>136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Revenue Analysis</vt:lpstr>
      <vt:lpstr>Expense Analysis</vt:lpstr>
      <vt:lpstr>P&amp;L Comparison</vt:lpstr>
      <vt:lpstr>Collection Analysis</vt:lpstr>
      <vt:lpstr>Management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365 Pro Plus</cp:lastModifiedBy>
  <cp:revision>1</cp:revision>
  <dcterms:created xsi:type="dcterms:W3CDTF">2026-07-11T08:15:25Z</dcterms:created>
  <dcterms:modified xsi:type="dcterms:W3CDTF">2026-07-11T10:19:13Z</dcterms:modified>
  <dc:language>en-US</dc:language>
</cp:coreProperties>
</file>